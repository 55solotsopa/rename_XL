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Z:\tmp Rename KIT\"/>
    </mc:Choice>
  </mc:AlternateContent>
  <xr:revisionPtr revIDLastSave="0" documentId="13_ncr:1_{4BBC6412-5862-44F9-B0AD-C8EC1B227912}" xr6:coauthVersionLast="47" xr6:coauthVersionMax="47" xr10:uidLastSave="{00000000-0000-0000-0000-000000000000}"/>
  <bookViews>
    <workbookView xWindow="-110" yWindow="-110" windowWidth="38620" windowHeight="21100" tabRatio="530" xr2:uid="{00000000-000D-0000-FFFF-FFFF00000000}"/>
  </bookViews>
  <sheets>
    <sheet name="List of Names" sheetId="2" r:id="rId1"/>
    <sheet name="Files_2_Rename" sheetId="3" r:id="rId2"/>
    <sheet name="Rename_by_hand" sheetId="7" r:id="rId3"/>
    <sheet name="Folders_2_Rename" sheetId="6" r:id="rId4"/>
    <sheet name="Choises &amp; Info" sheetId="4" r:id="rId5"/>
  </sheets>
  <functionGroups builtInGroupCount="19"/>
  <definedNames>
    <definedName name="_xlnm._FilterDatabase" localSheetId="3" hidden="1">Folders_2_Rename!$A$2:$B$2</definedName>
    <definedName name="_xlnm._FilterDatabase" localSheetId="0" hidden="1">'List of Names'!$A$1:$G$12782</definedName>
    <definedName name="_xleta.AND" hidden="1" xlm="1">#NAME?</definedName>
    <definedName name="_xleta.BYROW" hidden="1" xlm="1">#NAME?</definedName>
    <definedName name="_xleta.CHOOSE" hidden="1" xlm="1">#NAME?</definedName>
    <definedName name="_xleta.CHOOSECOLS" hidden="1" xlm="1">#NAME?</definedName>
    <definedName name="_xleta.FILTER" hidden="1" xlm="1">#NAME?</definedName>
    <definedName name="_xleta.HSTACK" hidden="1" xlm="1">#NAME?</definedName>
    <definedName name="_xleta.IF" hidden="1" xlm="1">#NAME?</definedName>
    <definedName name="_xleta.IFERROR" hidden="1" xlm="1">#NAME?</definedName>
    <definedName name="_xleta.INFO" hidden="1" xlm="1">#NAME?</definedName>
    <definedName name="_xleta.ISERROR" hidden="1" xlm="1">#NAME?</definedName>
    <definedName name="_xleta.LEFT" hidden="1" xlm="1">#NAME?</definedName>
    <definedName name="_xleta.LEN" hidden="1" xlm="1">#NAME?</definedName>
    <definedName name="_xleta.MID" hidden="1" xlm="1">#NAME?</definedName>
    <definedName name="_xleta.OFFSET" hidden="1" xlm="1">#NAME?</definedName>
    <definedName name="_xleta.OR" hidden="1" xlm="1">#NAME?</definedName>
    <definedName name="_xleta.PROPER" hidden="1" xlm="1">#NAME?</definedName>
    <definedName name="_xleta.REGEXEXTRACT" hidden="1" xlm="1">#NAME?</definedName>
    <definedName name="_xleta.ROWS" hidden="1" xlm="1">#NAME?</definedName>
    <definedName name="_xleta.SUBSTITUTE" hidden="1" xlm="1">#NAME?</definedName>
    <definedName name="_xleta.SUM" hidden="1" xlm="1">#NAME?</definedName>
    <definedName name="_xleta.T" hidden="1" xlm="1">#NAME?</definedName>
    <definedName name="_xleta.TEXTAFTER" hidden="1" xlm="1">#NAME?</definedName>
    <definedName name="_xleta.UNICHAR" hidden="1" xlm="1">#NAME?</definedName>
    <definedName name="_xleta.UNICODE" hidden="1" xlm="1">#NAME?</definedName>
    <definedName name="_xlpm.c" hidden="1" xlm="1">#NAME?</definedName>
    <definedName name="_xlpm.clm_01" hidden="1" xlm="1">#NAME?</definedName>
    <definedName name="_xlpm.clmn_01" hidden="1" xlm="1">#NAME?</definedName>
    <definedName name="_xlpm.clmn_02" hidden="1" xlm="1">#NAME?</definedName>
    <definedName name="_xlpm.clmn_03" hidden="1" xlm="1">#NAME?</definedName>
    <definedName name="_xlpm.compare_01" hidden="1" xlm="1">#NAME?</definedName>
    <definedName name="_xlpm.fl_list" hidden="1" xlm="1">#NAME?</definedName>
    <definedName name="_xlpm.fld_list" hidden="1" xlm="1">#NAME?</definedName>
    <definedName name="_xlpm.fldr_list" hidden="1" xlm="1">#NAME?</definedName>
    <definedName name="_xlpm.i" hidden="1" xlm="1">#NAME?</definedName>
    <definedName name="_xlpm.ifstr_pth" hidden="1" xlm="1">#NAME?</definedName>
    <definedName name="_xlpm.istr_pth" hidden="1" xlm="1">#NAME?</definedName>
    <definedName name="_xlpm.l_str_0" hidden="1" xlm="1">#NAME?</definedName>
    <definedName name="_xlpm.len_1" hidden="1" xlm="1">#NAME?</definedName>
    <definedName name="_xlpm.list_" hidden="1" xlm="1">#NAME?</definedName>
    <definedName name="_xlpm.list_0" hidden="1" xlm="1">#NAME?</definedName>
    <definedName name="_xlpm.list_01" hidden="1" xlm="1">#NAME?</definedName>
    <definedName name="_xlpm.list_02" hidden="1" xlm="1">#NAME?</definedName>
    <definedName name="_xlpm.list_03" hidden="1" xlm="1">#NAME?</definedName>
    <definedName name="_xlpm.list_04" hidden="1" xlm="1">#NAME?</definedName>
    <definedName name="_xlpm.list_d" hidden="1" xlm="1">#NAME?</definedName>
    <definedName name="_xlpm.list_di" hidden="1" xlm="1">#NAME?</definedName>
    <definedName name="_xlpm.list_dir" hidden="1" xlm="1">#NAME?</definedName>
    <definedName name="_xlpm.list_fn" hidden="1" xlm="1">#NAME?</definedName>
    <definedName name="_xlpm.list_res" hidden="1" xlm="1">#NAME?</definedName>
    <definedName name="_xlpm.lst_" hidden="1" xlm="1">#NAME?</definedName>
    <definedName name="_xlpm.lst_01" hidden="1" xlm="1">#NAME?</definedName>
    <definedName name="_xlpm.lst_1" hidden="1" xlm="1">#NAME?</definedName>
    <definedName name="_xlpm.lst_2" hidden="1" xlm="1">#NAME?</definedName>
    <definedName name="_xlpm.lst_3" hidden="1" xlm="1">#NAME?</definedName>
    <definedName name="_xlpm.lst_3s" hidden="1" xlm="1">#NAME?</definedName>
    <definedName name="_xlpm.lst_3sr" hidden="1" xlm="1">#NAME?</definedName>
    <definedName name="_xlpm.lst_3src" hidden="1" xlm="1">#NAME?</definedName>
    <definedName name="_xlpm.lst_4" hidden="1" xlm="1">#NAME?</definedName>
    <definedName name="_xlpm.lst_5" hidden="1" xlm="1">#NAME?</definedName>
    <definedName name="_xlpm.lst_aa" hidden="1" xlm="1">#NAME?</definedName>
    <definedName name="_xlpm.lst_auto" hidden="1" xlm="1">#NAME?</definedName>
    <definedName name="_xlpm.lst_Hnd" hidden="1" xlm="1">#NAME?</definedName>
    <definedName name="_xlpm.prev" hidden="1" xlm="1">#NAME?</definedName>
    <definedName name="_xlpm.r" hidden="1" xlm="1">#NAME?</definedName>
    <definedName name="_xlpm.reg_expres" hidden="1" xlm="1">#NAME?</definedName>
    <definedName name="_xlpm.reg_xpress_1" hidden="1" xlm="1">#NAME?</definedName>
    <definedName name="_xlpm.reg_xpress_2" hidden="1" xlm="1">#NAME?</definedName>
    <definedName name="_xlpm.res_01" hidden="1" xlm="1">#NAME?</definedName>
    <definedName name="_xlpm.res_1" hidden="1" xlm="1">#NAME?</definedName>
    <definedName name="_xlpm.res_2" hidden="1" xlm="1">#NAME?</definedName>
    <definedName name="_xlpm.res_3" hidden="1" xlm="1">#NAME?</definedName>
    <definedName name="_xlpm.res_4" hidden="1" xlm="1">#NAME?</definedName>
    <definedName name="_xlpm.res_mtr" hidden="1" xlm="1">#NAME?</definedName>
    <definedName name="_xlpm.res_mtrx" hidden="1" xlm="1">#NAME?</definedName>
    <definedName name="_xlpm.s" hidden="1" xlm="1">#NAME?</definedName>
    <definedName name="_xlpm.slen_1" hidden="1" xlm="1">#NAME?</definedName>
    <definedName name="_xlpm.src_1" hidden="1" xlm="1">#NAME?</definedName>
    <definedName name="_xlpm.st" hidden="1" xlm="1">#NAME?</definedName>
    <definedName name="_xlpm.stlen_1" hidden="1" xlm="1">#NAME?</definedName>
    <definedName name="_xlpm.str" hidden="1" xlm="1">#NAME?</definedName>
    <definedName name="_xlpm.str_" hidden="1" xlm="1">#NAME?</definedName>
    <definedName name="_xlpm.str_1" hidden="1" xlm="1">#NAME?</definedName>
    <definedName name="_xlpm.str_1a" hidden="1" xlm="1">#NAME?</definedName>
    <definedName name="_xlpm.str_1len_1" hidden="1" xlm="1">#NAME?</definedName>
    <definedName name="_xlpm.str_1r" hidden="1" xlm="1">#NAME?</definedName>
    <definedName name="_xlpm.str_1rw" hidden="1" xlm="1">#NAME?</definedName>
    <definedName name="_xlpm.str_flnm" hidden="1" xlm="1">#NAME?</definedName>
    <definedName name="_xlpm.str_frm" hidden="1" xlm="1">#NAME?</definedName>
    <definedName name="_xlpm.str_len_1" hidden="1" xlm="1">#NAME?</definedName>
    <definedName name="_xlpm.str_nwnm" hidden="1" xlm="1">#NAME?</definedName>
    <definedName name="_xlpm.str_p" hidden="1" xlm="1">#NAME?</definedName>
    <definedName name="_xlpm.str_pt" hidden="1" xlm="1">#NAME?</definedName>
    <definedName name="_xlpm.str_pth" hidden="1" xlm="1">#NAME?</definedName>
    <definedName name="_xlpm.str_res" hidden="1" xlm="1">#NAME?</definedName>
    <definedName name="_xlpm.str_rw1" hidden="1" xlm="1">#NAME?</definedName>
    <definedName name="_xlpm.str_subs" hidden="1" xlm="1">#NAME?</definedName>
    <definedName name="_xlpm.strlen_1" hidden="1" xlm="1">#NAME?</definedName>
    <definedName name="_xlpm.t" hidden="1" xlm="1">#NAME?</definedName>
    <definedName name="_xlpm.tmp_rws" hidden="1" xlm="1">#NAME?</definedName>
    <definedName name="_xlpm.tt" hidden="1" xlm="1">#NAME?</definedName>
    <definedName name="_xlpm.ttl" hidden="1" xlm="1">#NAME?</definedName>
    <definedName name="_xlpm.ttl_" hidden="1" xlm="1">#NAME?</definedName>
    <definedName name="_xlpm.ttl_r" hidden="1" xlm="1">#NAME?</definedName>
    <definedName name="_xlpm.ttl_rw" hidden="1" xlm="1">#NAME?</definedName>
    <definedName name="_xlpm.ttl_rws" hidden="1" xlm="1">#NAME?</definedName>
    <definedName name="_xlpm.v_str" hidden="1" xlm="1">#NAME?</definedName>
    <definedName name="_xlpm.v1_str" hidden="1" xlm="1">#NAME?</definedName>
    <definedName name="_xlpm.vl_str" hidden="1" xlm="1">#NAME?</definedName>
    <definedName name="_xlpm.vl_str_" hidden="1" xlm="1">#NAME?</definedName>
    <definedName name="_xlpm.vl_str_0" hidden="1" xlm="1">#NAME?</definedName>
    <definedName name="_xlpm.vl_str_1" hidden="1" xlm="1">#NAME?</definedName>
    <definedName name="_xlpm.vl_str_2" hidden="1" xlm="1">#NAME?</definedName>
    <definedName name="_xlpm.x" hidden="1" xlm="1">#NAME?</definedName>
    <definedName name="_xlpm.y" hidden="1" xlm="1">#NAME?</definedName>
    <definedName name="CalcFL">'List of Names'!$D$5</definedName>
    <definedName name="dirs_unq">'List of Names'!$K$4</definedName>
    <definedName name="FilePathLen">'Choises &amp; Info'!$I$2</definedName>
    <definedName name="lst_fNames">'List of Names'!$C$9:$C$309</definedName>
    <definedName name="myFilePath">'List of Names'!$D$1</definedName>
    <definedName name="old_DN" comment="old Directory Names">Folders_2_Rename!$A$3</definedName>
    <definedName name="old_FN" comment="old File Names">Files_2_Rename!$A$2</definedName>
    <definedName name="SearchFL">'List of Names'!$D$3</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 l="1" a="1"/>
  <c r="A1" i="3" s="1"/>
  <c r="H6" i="4"/>
  <c r="B5" i="4" a="1"/>
  <c r="B5" i="4" s="1"/>
  <c r="I2" i="4"/>
  <c r="M9" i="2" a="1"/>
  <c r="B9" i="2" a="1"/>
  <c r="N7" i="4"/>
  <c r="N8" i="4"/>
  <c r="N17" i="4"/>
  <c r="M9" i="2" l="1"/>
  <c r="B9" i="2"/>
  <c r="K4" i="2"/>
  <c r="B7" i="4" a="1"/>
  <c r="B7" i="4" s="1"/>
  <c r="H7" i="4" s="1" a="1"/>
  <c r="H7" i="4" s="1"/>
  <c r="J9" i="2" l="1" a="1"/>
  <c r="J9" i="2" s="1"/>
  <c r="M7" i="4" a="1"/>
  <c r="M7" i="4" s="1"/>
  <c r="M8" i="4" a="1"/>
  <c r="M8" i="4" s="1"/>
  <c r="M12" i="4" a="1"/>
  <c r="M12" i="4" s="1"/>
  <c r="M11" i="4" a="1"/>
  <c r="M11" i="4" s="1"/>
  <c r="M9" i="4" a="1"/>
  <c r="M9" i="4" s="1"/>
  <c r="M10" i="4" a="1"/>
  <c r="M10" i="4" s="1"/>
  <c r="F7" i="4" a="1"/>
  <c r="F7" i="4" s="1"/>
  <c r="C7" i="4" a="1"/>
  <c r="C7" i="4" s="1"/>
  <c r="M32" i="4" a="1"/>
  <c r="M32" i="4" l="1"/>
  <c r="M17" i="4" l="1"/>
  <c r="M14" i="4" a="1"/>
  <c r="M14" i="4" s="1"/>
  <c r="M16" i="4" a="1"/>
  <c r="M16" i="4" s="1"/>
  <c r="M13" i="4" a="1"/>
  <c r="M13" i="4" s="1"/>
  <c r="M15" i="4" a="1"/>
  <c r="M15" i="4" s="1"/>
  <c r="D4" i="2" l="1"/>
  <c r="C9" i="2" s="1" a="1"/>
  <c r="C9" i="2" s="1"/>
  <c r="K7" i="2" a="1"/>
  <c r="K7" i="2" s="1"/>
  <c r="A3" i="6" s="1" a="1"/>
  <c r="A3" i="6" s="1"/>
  <c r="C2" i="6" s="1" a="1"/>
  <c r="C2" i="6" s="1"/>
  <c r="A9" i="2" l="1" a="1"/>
  <c r="A9" i="2" s="1"/>
  <c r="D9" i="2" a="1"/>
  <c r="D9" i="2" l="1"/>
  <c r="E9" i="2" s="1" a="1"/>
  <c r="E9" i="2" s="1"/>
  <c r="D7" i="2" s="1"/>
  <c r="F9" i="2" l="1" a="1"/>
  <c r="F9" i="2" s="1"/>
  <c r="A3" i="7" s="1" a="1"/>
  <c r="A3" i="7" s="1"/>
  <c r="C1" i="3"/>
  <c r="E3" i="7" l="1" a="1"/>
  <c r="E3" i="7" s="1"/>
  <c r="A2" i="3" s="1" a="1"/>
  <c r="A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Apostolos</author>
    <author>Apostolos Goul</author>
  </authors>
  <commentList>
    <comment ref="D6" authorId="0" shapeId="0" xr:uid="{866BF68E-B816-4ECE-BD48-B40A514AA911}">
      <text>
        <r>
          <rPr>
            <b/>
            <sz val="9"/>
            <color indexed="81"/>
            <rFont val="Tahoma"/>
            <family val="2"/>
            <charset val="161"/>
          </rPr>
          <t>Apostolos:</t>
        </r>
        <r>
          <rPr>
            <sz val="9"/>
            <color indexed="81"/>
            <rFont val="Tahoma"/>
            <family val="2"/>
            <charset val="161"/>
          </rPr>
          <t xml:space="preserve">
Regular Expression used: 
RegeXReplace(A1, "([^a-zA-Z0-9])\1+", "\1")</t>
        </r>
      </text>
    </comment>
    <comment ref="B8" authorId="1" shapeId="0" xr:uid="{5CBE0C23-7F57-4C74-B2EF-1068161369A3}">
      <text>
        <r>
          <rPr>
            <b/>
            <sz val="9"/>
            <color indexed="81"/>
            <rFont val="Tahoma"/>
            <family val="2"/>
          </rPr>
          <t>Just the Formula:</t>
        </r>
        <r>
          <rPr>
            <sz val="9"/>
            <color indexed="81"/>
            <rFont val="Tahoma"/>
            <family val="2"/>
          </rPr>
          <t xml:space="preserve">
=IF( $D$1, TRANSPOSE( FindRecursiveFiles($G$1, IF( ISBLANK( myFilePath), showpath(), myFilePath) ) ), "Write 'path' in D2 \\ then set D1 to TRUE" )
</t>
        </r>
      </text>
    </comment>
    <comment ref="C8" authorId="1" shapeId="0" xr:uid="{A4D055EE-ED75-4804-B76C-7785F2C330EA}">
      <text>
        <r>
          <rPr>
            <b/>
            <sz val="9"/>
            <color indexed="81"/>
            <rFont val="Tahoma"/>
            <family val="2"/>
          </rPr>
          <t>Just the Formula:</t>
        </r>
        <r>
          <rPr>
            <sz val="9"/>
            <color indexed="81"/>
            <rFont val="Tahoma"/>
            <family val="2"/>
          </rPr>
          <t xml:space="preserve">
new: =TEXTAFTER($B$6#,"\",-1)
old:=BYROW(B6#, LAMBDA(x, IF( ISNA(x), "-", FilefromPath(x) ) ) )</t>
        </r>
      </text>
    </comment>
    <comment ref="D8" authorId="1" shapeId="0" xr:uid="{D9932A68-104D-4854-8411-BD00F7EC2BC5}">
      <text>
        <r>
          <rPr>
            <b/>
            <sz val="9"/>
            <color indexed="81"/>
            <rFont val="Tahoma"/>
            <family val="2"/>
          </rPr>
          <t xml:space="preserve">Just the formula:
</t>
        </r>
        <r>
          <rPr>
            <sz val="9"/>
            <color indexed="81"/>
            <rFont val="Tahoma"/>
            <family val="2"/>
          </rPr>
          <t xml:space="preserve">=IF($G$2&gt;0,
    LET( vl_str, $C$6#, str_frm, 'Choises &amp; Info'!$H$7#, lst_aa, SEQUENCE( ROWS( str_frm) ), reg_xpress_1, "([^a-zA-Z0-9])\1+", reg_xpress_2, "[^a-zA-Z0-9{}\[\]()\- .'_]",
      res_1, IF( $D$3=0, "Select &gt;&gt; 1 : Excel &lt;&lt;   or &gt;&gt; 2 : VBA &lt;&lt;    ...in D3",
                 IF( $D$3=1, REDUCE(vl_str, lst_aa, LAMBDA(prev,i, SUBSTITUTE(prev, INDEX(str_frm, i, 1), INDEX(str_frm, i, 2) ) ) ),
                 MultSubsttt( vl_str, str_frm ) ) ),
      IF($D$4, REGEXREPLACE(res_1,reg_xpress_1, "\1"), res_1) ), " Awaiting choices")
</t>
        </r>
      </text>
    </comment>
    <comment ref="F8" authorId="1" shapeId="0" xr:uid="{3891DA3C-5886-4ED3-962A-454814F647E9}">
      <text>
        <r>
          <rPr>
            <b/>
            <sz val="9"/>
            <color indexed="81"/>
            <rFont val="Tahoma"/>
            <family val="2"/>
          </rPr>
          <t>Apostolos Goul:</t>
        </r>
        <r>
          <rPr>
            <sz val="9"/>
            <color indexed="81"/>
            <rFont val="Tahoma"/>
            <family val="2"/>
          </rPr>
          <t xml:space="preserve">
=IF( $D$3&lt;&gt;0, LET( clmn_01, IF( $E$6#=0, $B$6#,""), clmn_03, IF( $E$6#=0, TEXTBEFORE( $B$6#, "\", -1)&amp;"\", ""), clmn_02, IF( $E$6#=0, clmn_03 &amp; $D$6#, ""),
       HSTACK( clmn_01, clmn_02, clmn_03)), TEXTSPLIT( REPT("-",20)&amp; "  &gt;&gt; will show ORIGINALS &lt;\&gt; and CHANGES when available &lt;&lt;","\") )</t>
        </r>
      </text>
    </comment>
    <comment ref="J9" authorId="1" shapeId="0" xr:uid="{F77BF3B9-21C1-46F3-8DCA-F6D5CEF1AC7A}">
      <text>
        <r>
          <rPr>
            <b/>
            <sz val="12"/>
            <color indexed="81"/>
            <rFont val="Arial"/>
            <family val="2"/>
          </rPr>
          <t>Apostolos Goul:</t>
        </r>
        <r>
          <rPr>
            <sz val="12"/>
            <color indexed="81"/>
            <rFont val="Arial"/>
            <family val="2"/>
          </rPr>
          <t xml:space="preserve">
= IF( AND( $K$1, $G$2&gt;=1, $K$3),
  LET( vl_str_0, UNIQUE( TEXTBEFORE( $B$6#, "\", -1) ),
      vl_str_1, TEXTBEFORE( vl_str_0, "\", -1), vl_str_2, TEXTAFTER( vl_str_0,"\",-1),
      str_frm, 'Choises &amp; Info'!$H$7#, lst_aa, SEQUENCE( ROWS( str_frm) ), reg_xpress_1, "([^a-zA-Z0-9])\1+",
      res_1, IF( $K$3=0, "Select &gt;&gt; 1 : Folder Rename &lt;&lt;",
                 REDUCE(vl_str_2, lst_aa, LAMBDA(prev,i, SUBSTITUTE(prev, INDEX(str_frm, i, 1), INDEX(str_frm, i, 2) ) ) ) ),
      res_2, IF( $K$4, REGEXREPLACE(res_1,reg_xpress_1, "\1"), res_1),
      compare_01, 1* IFERROR( EXACT( vl_str_2, res_2), 0), ttl_rws, UpdateNmRng( ROWS( vl_str_0) ),
      res_3, FILTER( HSTACK( vl_str_2, res_2, vl_str_1), compare_01=0, "-"),
      res_3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Apostolos Goul</author>
  </authors>
  <commentList>
    <comment ref="A1" authorId="0" shapeId="0" xr:uid="{7C3C5572-3FC0-44BF-949F-76AE238216FE}">
      <text>
        <r>
          <rPr>
            <b/>
            <sz val="9"/>
            <color indexed="81"/>
            <rFont val="Tahoma"/>
            <family val="2"/>
          </rPr>
          <t>Apostolos Goul:</t>
        </r>
        <r>
          <rPr>
            <sz val="9"/>
            <color indexed="81"/>
            <rFont val="Tahoma"/>
            <family val="2"/>
          </rPr>
          <t xml:space="preserve">
Names to Change (aka Paths &amp; FileNames) will be taken from cell </t>
        </r>
        <r>
          <rPr>
            <b/>
            <sz val="9"/>
            <color indexed="81"/>
            <rFont val="Tahoma"/>
            <family val="2"/>
          </rPr>
          <t>[old_FN]</t>
        </r>
        <r>
          <rPr>
            <sz val="9"/>
            <color indexed="81"/>
            <rFont val="Tahoma"/>
            <family val="2"/>
          </rPr>
          <t xml:space="preserve"> (usually Column A) till the last Row containing data, and the Names to be CHANGED TO from the column next to it (Usually B).
So if you want to change the resulting names you can COPY-PASTE Values and change what you like. Just take a Note of the formula in the </t>
        </r>
        <r>
          <rPr>
            <b/>
            <sz val="9"/>
            <color indexed="81"/>
            <rFont val="Tahoma"/>
            <family val="2"/>
          </rPr>
          <t>[old_FN]</t>
        </r>
        <r>
          <rPr>
            <sz val="9"/>
            <color indexed="81"/>
            <rFont val="Tahoma"/>
            <family val="2"/>
          </rPr>
          <t xml:space="preserve"> cell to be able to restore it.     
&gt;&gt;&gt; I would rather use this for Greek and hard to change characters, and then use some more agile tool for wildcard replacements etc...
</t>
        </r>
        <r>
          <rPr>
            <b/>
            <sz val="9"/>
            <color indexed="81"/>
            <rFont val="Tahoma"/>
            <family val="2"/>
          </rPr>
          <t>Original Code for [old_FN] cell:</t>
        </r>
        <r>
          <rPr>
            <sz val="9"/>
            <color indexed="81"/>
            <rFont val="Tahoma"/>
            <family val="2"/>
          </rPr>
          <t xml:space="preserve">
=IF( AND( 'List of Names'!$G$3&gt;=1, 'List of Names'!$D$3),
     LET( list_01, FILTER( OFFSET( 'List of Names'!$F$6#,,,,2), 'List of Names'!$E$6#=0, 0),
          list_01 ), 0)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<sst xmlns="http://schemas.openxmlformats.org/spreadsheetml/2006/main" count="241" uniqueCount="195">
  <si>
    <t>Paths &amp; Files Names from current directory</t>
  </si>
  <si>
    <t>α</t>
  </si>
  <si>
    <t>Α</t>
  </si>
  <si>
    <t>Β</t>
  </si>
  <si>
    <t>Γ</t>
  </si>
  <si>
    <t>Δ</t>
  </si>
  <si>
    <t>Ε</t>
  </si>
  <si>
    <t>Ζ</t>
  </si>
  <si>
    <t>Η</t>
  </si>
  <si>
    <t>Θ</t>
  </si>
  <si>
    <t>Ι</t>
  </si>
  <si>
    <t>Κ</t>
  </si>
  <si>
    <t>Λ</t>
  </si>
  <si>
    <t>Μ</t>
  </si>
  <si>
    <t>Ν</t>
  </si>
  <si>
    <t>Ξ</t>
  </si>
  <si>
    <t>β</t>
  </si>
  <si>
    <t>ψ</t>
  </si>
  <si>
    <t>ω</t>
  </si>
  <si>
    <t>Ψ</t>
  </si>
  <si>
    <t>Ω</t>
  </si>
  <si>
    <t>ά</t>
  </si>
  <si>
    <t>ί</t>
  </si>
  <si>
    <t>ή</t>
  </si>
  <si>
    <t>ύ</t>
  </si>
  <si>
    <t>έ</t>
  </si>
  <si>
    <t>ό</t>
  </si>
  <si>
    <t>ϊ</t>
  </si>
  <si>
    <t>Ϊ</t>
  </si>
  <si>
    <t>A</t>
  </si>
  <si>
    <t>B</t>
  </si>
  <si>
    <t>G</t>
  </si>
  <si>
    <t>D</t>
  </si>
  <si>
    <t>E</t>
  </si>
  <si>
    <t>Z</t>
  </si>
  <si>
    <t>H</t>
  </si>
  <si>
    <t>I</t>
  </si>
  <si>
    <t>K</t>
  </si>
  <si>
    <t>L</t>
  </si>
  <si>
    <t>M</t>
  </si>
  <si>
    <t>N</t>
  </si>
  <si>
    <t>X</t>
  </si>
  <si>
    <t>O</t>
  </si>
  <si>
    <t>P</t>
  </si>
  <si>
    <t>R</t>
  </si>
  <si>
    <t>S</t>
  </si>
  <si>
    <t>T</t>
  </si>
  <si>
    <t>Y</t>
  </si>
  <si>
    <t>F</t>
  </si>
  <si>
    <t>W</t>
  </si>
  <si>
    <t>a</t>
  </si>
  <si>
    <t>e</t>
  </si>
  <si>
    <t>h</t>
  </si>
  <si>
    <t>i</t>
  </si>
  <si>
    <t>u</t>
  </si>
  <si>
    <t>b</t>
  </si>
  <si>
    <t>g</t>
  </si>
  <si>
    <t>d</t>
  </si>
  <si>
    <t>z</t>
  </si>
  <si>
    <t>k</t>
  </si>
  <si>
    <t>l</t>
  </si>
  <si>
    <t>m</t>
  </si>
  <si>
    <t>n</t>
  </si>
  <si>
    <t>x</t>
  </si>
  <si>
    <t>o</t>
  </si>
  <si>
    <t>p</t>
  </si>
  <si>
    <t>r</t>
  </si>
  <si>
    <t>s</t>
  </si>
  <si>
    <t>t</t>
  </si>
  <si>
    <t>f</t>
  </si>
  <si>
    <t>w</t>
  </si>
  <si>
    <t>Ο</t>
  </si>
  <si>
    <t>Π</t>
  </si>
  <si>
    <t>Ρ</t>
  </si>
  <si>
    <t>Σ</t>
  </si>
  <si>
    <t>Τ</t>
  </si>
  <si>
    <t>Υ</t>
  </si>
  <si>
    <t>Φ</t>
  </si>
  <si>
    <t>Χ</t>
  </si>
  <si>
    <t>Ϋ</t>
  </si>
  <si>
    <t>ΰ</t>
  </si>
  <si>
    <t>γ</t>
  </si>
  <si>
    <t>δ</t>
  </si>
  <si>
    <t>ε</t>
  </si>
  <si>
    <t>ζ</t>
  </si>
  <si>
    <t>η</t>
  </si>
  <si>
    <t>θ</t>
  </si>
  <si>
    <t>ι</t>
  </si>
  <si>
    <t>κ</t>
  </si>
  <si>
    <t>λ</t>
  </si>
  <si>
    <t>μ</t>
  </si>
  <si>
    <t>ν</t>
  </si>
  <si>
    <t>ξ</t>
  </si>
  <si>
    <t>ο</t>
  </si>
  <si>
    <t>π</t>
  </si>
  <si>
    <t>ρ</t>
  </si>
  <si>
    <t>ς</t>
  </si>
  <si>
    <t>σ</t>
  </si>
  <si>
    <t>τ</t>
  </si>
  <si>
    <t>υ</t>
  </si>
  <si>
    <t>φ</t>
  </si>
  <si>
    <t>χ</t>
  </si>
  <si>
    <t>ϋ</t>
  </si>
  <si>
    <t>U</t>
  </si>
  <si>
    <t>GR</t>
  </si>
  <si>
    <t>EN</t>
  </si>
  <si>
    <t>ώ</t>
  </si>
  <si>
    <t>a_a</t>
  </si>
  <si>
    <t>New FileName</t>
  </si>
  <si>
    <t>New Path &amp; FileName IF Changed</t>
  </si>
  <si>
    <t>old Path &amp; FileName about 2 Change</t>
  </si>
  <si>
    <t>No 1 for SAME:</t>
  </si>
  <si>
    <t>Char Unicode</t>
  </si>
  <si>
    <t>-</t>
  </si>
  <si>
    <t>FilePath Length:</t>
  </si>
  <si>
    <t>Letter OUT</t>
  </si>
  <si>
    <t>Letter IN</t>
  </si>
  <si>
    <t>Formula</t>
  </si>
  <si>
    <t>Total Rows</t>
  </si>
  <si>
    <t>]</t>
  </si>
  <si>
    <t>[</t>
  </si>
  <si>
    <t xml:space="preserve"> </t>
  </si>
  <si>
    <t>Fix characters to be replaced!
Column D: Unicode (ex: Greek)
Column E: English</t>
  </si>
  <si>
    <t>Characters to be replaced
(ex Greek)</t>
  </si>
  <si>
    <t>Characters to replace with
(ex English)</t>
  </si>
  <si>
    <t>A/A</t>
  </si>
  <si>
    <t>GR_Code</t>
  </si>
  <si>
    <t>EN_Code</t>
  </si>
  <si>
    <t>Comments</t>
  </si>
  <si>
    <r>
      <rPr>
        <b/>
        <sz val="11"/>
        <color theme="1"/>
        <rFont val="Calibri"/>
        <family val="2"/>
        <scheme val="minor"/>
      </rPr>
      <t xml:space="preserve">Use Xmatch </t>
    </r>
    <r>
      <rPr>
        <sz val="11"/>
        <color theme="1"/>
        <rFont val="Calibri"/>
        <family val="2"/>
        <charset val="161"/>
        <scheme val="minor"/>
      </rPr>
      <t>for Exact Match on Binary Search</t>
    </r>
  </si>
  <si>
    <t>%</t>
  </si>
  <si>
    <t>Work with UniCode() / Unichar() functions</t>
  </si>
  <si>
    <t>=LET( lst_1, $B$7#,
      lst_2, OFFSET( lst_1, ,1),
      lst_3, OFFSET( $B$7#,,3),
      lst_4, MAKEARRAY( ROWS(lst_1), 2, LAMBDA(x,y, CHOOSE( y, INDEX( lst_2,x), INDEX( lst_3,x), INDEX( lst_1,x) ) ) ),
      lst_5, UNIQUE( SORT( lst_4, 1) ),
      lst_5 )</t>
  </si>
  <si>
    <t>TESTING AREA : Whatever you do in these Columns DOESN’T AFFECT the main Program!!!</t>
  </si>
  <si>
    <r>
      <t>Use Simple</t>
    </r>
    <r>
      <rPr>
        <b/>
        <sz val="11"/>
        <color theme="1"/>
        <rFont val="Calibri"/>
        <family val="2"/>
        <scheme val="minor"/>
      </rPr>
      <t xml:space="preserve"> Match</t>
    </r>
    <r>
      <rPr>
        <sz val="11"/>
        <color theme="1"/>
        <rFont val="Calibri"/>
        <family val="2"/>
        <charset val="161"/>
        <scheme val="minor"/>
      </rPr>
      <t xml:space="preserve"> Only for Legacy systems…</t>
    </r>
  </si>
  <si>
    <t>Apo[]</t>
  </si>
  <si>
    <t>ΣΓΔΣΦφφαςς[[[]]]εςρςε</t>
  </si>
  <si>
    <r>
      <rPr>
        <b/>
        <sz val="12"/>
        <color theme="1"/>
        <rFont val="Calibri"/>
        <family val="2"/>
        <scheme val="minor"/>
      </rPr>
      <t xml:space="preserve">COMMENTS: </t>
    </r>
    <r>
      <rPr>
        <sz val="12"/>
        <color theme="1"/>
        <rFont val="Calibri"/>
        <family val="2"/>
        <scheme val="minor"/>
      </rPr>
      <t xml:space="preserve"> On the latest Edition v1.1, I replaced the seek &amp; Replace Function with the much-much more versatile option to replace Multiple Characters ( θ &gt;&gt; th   OR  μπ &gt;&gt;b) etc!!! Implementation in Excel Helper functions AND VBA…. With the latter expected to be much faster in large Data-Sets...</t>
    </r>
  </si>
  <si>
    <r>
      <rPr>
        <b/>
        <sz val="12"/>
        <color theme="1"/>
        <rFont val="Calibri"/>
        <family val="2"/>
        <scheme val="minor"/>
      </rPr>
      <t xml:space="preserve">COMMENTS: </t>
    </r>
    <r>
      <rPr>
        <sz val="12"/>
        <color theme="1"/>
        <rFont val="Calibri"/>
        <family val="2"/>
        <scheme val="minor"/>
      </rPr>
      <t xml:space="preserve"> On the latest Edition v1.0, I replaced the used index table of codes (Unicodes) with a sorted table of Values!!! 
Yes, I don't say characters but Values, Aka Strings,  because now multi-char strings can replace the original ones
However take care because the program doesn't "track" for multi-char strings but for 1-char strings...</t>
    </r>
  </si>
  <si>
    <t>Ά</t>
  </si>
  <si>
    <t>Έ</t>
  </si>
  <si>
    <t>Ύ</t>
  </si>
  <si>
    <t>Ό</t>
  </si>
  <si>
    <t>Ί</t>
  </si>
  <si>
    <t>Ή</t>
  </si>
  <si>
    <t>ps</t>
  </si>
  <si>
    <t>©</t>
  </si>
  <si>
    <t>ª</t>
  </si>
  <si>
    <t>µ</t>
  </si>
  <si>
    <t>∫</t>
  </si>
  <si>
    <t>É</t>
  </si>
  <si>
    <t>∏</t>
  </si>
  <si>
    <t>–</t>
  </si>
  <si>
    <t>—</t>
  </si>
  <si>
    <t>Ps</t>
  </si>
  <si>
    <t>Old Folder Name</t>
  </si>
  <si>
    <t>New Folder Name</t>
  </si>
  <si>
    <r>
      <t xml:space="preserve">What changes &amp; Where
</t>
    </r>
    <r>
      <rPr>
        <b/>
        <sz val="14"/>
        <color theme="3" tint="-0.499984740745262"/>
        <rFont val="Calibri"/>
        <family val="2"/>
        <scheme val="minor"/>
      </rPr>
      <t>[order is reversed to rename deeper folders 1st and avoid problems]</t>
    </r>
  </si>
  <si>
    <t xml:space="preserve">C H E C K   the CheckBox &gt;&gt;&gt; 
 ...to see… </t>
  </si>
  <si>
    <t>™</t>
  </si>
  <si>
    <t>~</t>
  </si>
  <si>
    <t>FolderNames</t>
  </si>
  <si>
    <t>Original FileNames</t>
  </si>
  <si>
    <t>file Path (directory) only</t>
  </si>
  <si>
    <t>Parent Folder (path)</t>
  </si>
  <si>
    <t>ks</t>
  </si>
  <si>
    <t>Ks</t>
  </si>
  <si>
    <t>TESTING GROUNDS</t>
  </si>
  <si>
    <r>
      <t xml:space="preserve">Clear LIST
</t>
    </r>
    <r>
      <rPr>
        <b/>
        <sz val="10"/>
        <color theme="1"/>
        <rFont val="Calibri"/>
        <family val="2"/>
        <scheme val="minor"/>
      </rPr>
      <t>(De_Duplicated &amp; Sorted List to use for replacements)</t>
    </r>
  </si>
  <si>
    <t>FileName Original</t>
  </si>
  <si>
    <t>Filename Suggested</t>
  </si>
  <si>
    <t>Final Name</t>
  </si>
  <si>
    <r>
      <t xml:space="preserve">All the individual changes for </t>
    </r>
    <r>
      <rPr>
        <b/>
        <u/>
        <sz val="20"/>
        <color theme="7" tint="-0.499984740745262"/>
        <rFont val="Calibri"/>
        <family val="2"/>
        <scheme val="minor"/>
      </rPr>
      <t>File Renaming</t>
    </r>
    <r>
      <rPr>
        <b/>
        <sz val="20"/>
        <color theme="7" tint="-0.499984740745262"/>
        <rFont val="Calibri"/>
        <family val="2"/>
        <scheme val="minor"/>
      </rPr>
      <t xml:space="preserve"> must be done in </t>
    </r>
    <r>
      <rPr>
        <b/>
        <u/>
        <sz val="20"/>
        <color theme="7" tint="-0.499984740745262"/>
        <rFont val="Calibri"/>
        <family val="2"/>
        <scheme val="minor"/>
      </rPr>
      <t>Column D</t>
    </r>
    <r>
      <rPr>
        <b/>
        <sz val="20"/>
        <color theme="7" tint="-0.499984740745262"/>
        <rFont val="Calibri"/>
        <family val="2"/>
        <scheme val="minor"/>
      </rPr>
      <t xml:space="preserve"> and the changes visible in </t>
    </r>
    <r>
      <rPr>
        <b/>
        <u/>
        <sz val="20"/>
        <color theme="7" tint="-0.499984740745262"/>
        <rFont val="Calibri"/>
        <family val="2"/>
        <scheme val="minor"/>
      </rPr>
      <t>Column E</t>
    </r>
    <r>
      <rPr>
        <b/>
        <sz val="20"/>
        <color theme="7" tint="-0.499984740745262"/>
        <rFont val="Calibri"/>
        <family val="2"/>
        <scheme val="minor"/>
      </rPr>
      <t xml:space="preserve">. From there they will be transferred properly for renaming in Sheet </t>
    </r>
    <r>
      <rPr>
        <b/>
        <u/>
        <sz val="20"/>
        <color theme="7" tint="-0.499984740745262"/>
        <rFont val="Calibri"/>
        <family val="2"/>
        <scheme val="minor"/>
      </rPr>
      <t>Files_2_Rename</t>
    </r>
    <r>
      <rPr>
        <b/>
        <sz val="20"/>
        <color theme="7" tint="-0.499984740745262"/>
        <rFont val="Calibri"/>
        <family val="2"/>
        <scheme val="minor"/>
      </rPr>
      <t>…</t>
    </r>
  </si>
  <si>
    <t>Write/code HERE your own suggested filenames</t>
  </si>
  <si>
    <r>
      <rPr>
        <b/>
        <sz val="20"/>
        <rFont val="Calibri"/>
        <family val="2"/>
        <scheme val="minor"/>
      </rPr>
      <t xml:space="preserve">&gt; &gt; </t>
    </r>
    <r>
      <rPr>
        <b/>
        <sz val="20"/>
        <color rgb="FFC00000"/>
        <rFont val="Calibri"/>
        <family val="2"/>
        <scheme val="minor"/>
      </rPr>
      <t xml:space="preserve"> RED </t>
    </r>
    <r>
      <rPr>
        <b/>
        <sz val="20"/>
        <rFont val="Calibri"/>
        <family val="2"/>
        <scheme val="minor"/>
      </rPr>
      <t>Cells   &lt; &lt;  … Are waiting for instructions</t>
    </r>
    <r>
      <rPr>
        <b/>
        <sz val="11"/>
        <rFont val="Calibri"/>
        <family val="2"/>
        <scheme val="minor"/>
      </rPr>
      <t xml:space="preserve">
</t>
    </r>
    <r>
      <rPr>
        <b/>
        <sz val="11"/>
        <color rgb="FFFFFF00"/>
        <rFont val="Calibri"/>
        <family val="2"/>
        <scheme val="minor"/>
      </rPr>
      <t xml:space="preserve">
</t>
    </r>
    <r>
      <rPr>
        <b/>
        <sz val="14"/>
        <rFont val="Calibri"/>
        <family val="2"/>
        <charset val="161"/>
        <scheme val="minor"/>
      </rPr>
      <t xml:space="preserve">Filepaths Examples: </t>
    </r>
    <r>
      <rPr>
        <sz val="14"/>
        <rFont val="Calibri"/>
        <family val="2"/>
        <charset val="161"/>
        <scheme val="minor"/>
      </rPr>
      <t xml:space="preserve">
1) choose folder (local or remote) from </t>
    </r>
    <r>
      <rPr>
        <b/>
        <sz val="16"/>
        <rFont val="Calibri"/>
        <family val="2"/>
        <charset val="161"/>
        <scheme val="minor"/>
      </rPr>
      <t>ICON</t>
    </r>
    <r>
      <rPr>
        <sz val="14"/>
        <rFont val="Calibri"/>
        <family val="2"/>
        <charset val="161"/>
        <scheme val="minor"/>
      </rPr>
      <t xml:space="preserve">
2) Normal (copy address from FileExplorer):                B:\DownLoads
3) Network (use full address, no mapped disk name): \\MyServer\01 Documents or \\MyServer\Not Clear\2Compare\AM FILES</t>
    </r>
  </si>
  <si>
    <t>Original Folder Name</t>
  </si>
  <si>
    <t>New Folder Renamed (auto)</t>
  </si>
  <si>
    <t>&gt; &gt; &gt;                        &lt; &lt; &lt;</t>
  </si>
  <si>
    <t>1)     Write your filepath OR choose w the button:</t>
  </si>
  <si>
    <t>&lt;&lt;&lt; leave empty for ALL (no filter) (ex: .pdf  or: .xls)</t>
  </si>
  <si>
    <t>&gt;&gt;                     No of files passing the filter (if any):</t>
  </si>
  <si>
    <t>2)             Search in FileSystem (may take a while):</t>
  </si>
  <si>
    <t>&gt;&gt;                                                   count of Changes:</t>
  </si>
  <si>
    <t>5)                                  Rename Folders:</t>
  </si>
  <si>
    <t>&gt;&gt;                        No of Unique Folders:</t>
  </si>
  <si>
    <t>7) Perform Regular-expression Clearing non conventional characters &gt;&gt; TRUE &lt;&lt;</t>
  </si>
  <si>
    <t>&gt;&gt;                                     No of Changes:</t>
  </si>
  <si>
    <t>6)                       Calculate Renames (1):
Don't Rename (0):</t>
  </si>
  <si>
    <t xml:space="preserve">  3)  Choose Rename Options:    0 &gt; Don't Rename:
1 &gt; with Excel:                2 &gt; with VBA:</t>
  </si>
  <si>
    <t>/\FILES/\ \/FOLDERS\/</t>
  </si>
  <si>
    <t>4)        DO Regular-Expression based Clearing  
(of non conventional characters and repetitions)</t>
  </si>
  <si>
    <r>
      <rPr>
        <b/>
        <sz val="14"/>
        <color theme="1"/>
        <rFont val="Calibri"/>
        <family val="2"/>
        <scheme val="minor"/>
      </rPr>
      <t xml:space="preserve">1) a.                                                 </t>
    </r>
    <r>
      <rPr>
        <b/>
        <sz val="16"/>
        <color theme="1"/>
        <rFont val="Calibri"/>
        <family val="2"/>
        <scheme val="minor"/>
      </rPr>
      <t xml:space="preserve"> Filter at Reading time:</t>
    </r>
  </si>
  <si>
    <t>Complete Folder (path)</t>
  </si>
  <si>
    <t>Press Icon to repair automations after a debug-skip error.
Usualy files need to be reloaded</t>
  </si>
  <si>
    <t>\\ryzen-unraid\05 Working\07 Working\03 Robotics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</si>
</sst>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1"/>
      <color theme="1"/>
      <name val="Calibri"/>
      <family val="2"/>
      <charset val="161"/>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charset val="161"/>
      <scheme val="minor"/>
    </font>
    <font>
      <b/>
      <sz val="16"/>
      <color theme="1"/>
      <name val="Calibri"/>
      <family val="2"/>
      <charset val="161"/>
      <scheme val="minor"/>
    </font>
    <font>
      <b/>
      <sz val="11"/>
      <color theme="1"/>
      <name val="Calibri"/>
      <family val="2"/>
      <scheme val="minor"/>
    </font>
    <font>
      <b/>
      <sz val="11"/>
      <color rgb="FF0000FF"/>
      <name val="Calibri"/>
      <family val="2"/>
      <scheme val="minor"/>
    </font>
    <font>
      <b/>
      <sz val="14"/>
      <color theme="1"/>
      <name val="Calibri"/>
      <family val="2"/>
      <scheme val="minor"/>
    </font>
    <font>
      <b/>
      <sz val="16"/>
      <color theme="0"/>
      <name val="Calibri"/>
      <family val="2"/>
      <scheme val="minor"/>
    </font>
    <font>
      <b/>
      <sz val="12"/>
      <color theme="1"/>
      <name val="Calibri"/>
      <family val="2"/>
      <scheme val="minor"/>
    </font>
    <font>
      <b/>
      <sz val="10"/>
      <color theme="1"/>
      <name val="Calibri"/>
      <family val="2"/>
      <scheme val="minor"/>
    </font>
    <font>
      <b/>
      <sz val="14"/>
      <color theme="1"/>
      <name val="Calibri"/>
      <family val="2"/>
      <charset val="161"/>
      <scheme val="minor"/>
    </font>
    <font>
      <u/>
      <sz val="11"/>
      <color theme="10"/>
      <name val="Calibri"/>
      <family val="2"/>
      <charset val="161"/>
      <scheme val="minor"/>
    </font>
    <font>
      <b/>
      <sz val="11"/>
      <color theme="5" tint="-0.249977111117893"/>
      <name val="Calibri"/>
      <family val="2"/>
      <scheme val="minor"/>
    </font>
    <font>
      <sz val="14"/>
      <color theme="1"/>
      <name val="Calibri"/>
      <family val="2"/>
      <scheme val="minor"/>
    </font>
    <font>
      <b/>
      <sz val="16"/>
      <color rgb="FFFFFF00"/>
      <name val="Calibri"/>
      <family val="2"/>
      <scheme val="minor"/>
    </font>
    <font>
      <b/>
      <sz val="22"/>
      <color rgb="FFFFFF00"/>
      <name val="Calibri"/>
      <family val="2"/>
      <scheme val="minor"/>
    </font>
    <font>
      <b/>
      <sz val="22"/>
      <name val="Calibri"/>
      <family val="2"/>
      <scheme val="minor"/>
    </font>
    <font>
      <sz val="12"/>
      <color theme="1"/>
      <name val="Calibri"/>
      <family val="2"/>
      <scheme val="minor"/>
    </font>
    <font>
      <b/>
      <sz val="9"/>
      <color theme="1"/>
      <name val="Calibri"/>
      <family val="2"/>
      <scheme val="minor"/>
    </font>
    <font>
      <sz val="8"/>
      <color theme="1"/>
      <name val="Calibri"/>
      <family val="2"/>
      <charset val="161"/>
      <scheme val="minor"/>
    </font>
    <font>
      <b/>
      <sz val="12"/>
      <color rgb="FF0000FF"/>
      <name val="Calibri"/>
      <family val="2"/>
      <scheme val="minor"/>
    </font>
    <font>
      <b/>
      <sz val="12"/>
      <color theme="0" tint="-0.249977111117893"/>
      <name val="Calibri"/>
      <family val="2"/>
      <scheme val="minor"/>
    </font>
    <font>
      <sz val="9"/>
      <color indexed="81"/>
      <name val="Tahoma"/>
      <family val="2"/>
    </font>
    <font>
      <b/>
      <sz val="9"/>
      <color indexed="81"/>
      <name val="Tahoma"/>
      <family val="2"/>
    </font>
    <font>
      <b/>
      <sz val="11"/>
      <color theme="8" tint="-0.249977111117893"/>
      <name val="Calibri"/>
      <family val="2"/>
      <scheme val="minor"/>
    </font>
    <font>
      <b/>
      <sz val="16"/>
      <color theme="1"/>
      <name val="Calibri"/>
      <family val="2"/>
      <scheme val="minor"/>
    </font>
    <font>
      <sz val="11"/>
      <name val="Calibri"/>
      <family val="2"/>
      <scheme val="minor"/>
    </font>
    <font>
      <b/>
      <sz val="11"/>
      <name val="Calibri"/>
      <family val="2"/>
      <scheme val="minor"/>
    </font>
    <font>
      <b/>
      <sz val="11"/>
      <color rgb="FFFFFF00"/>
      <name val="Calibri"/>
      <family val="2"/>
      <scheme val="minor"/>
    </font>
    <font>
      <u/>
      <sz val="14"/>
      <color theme="10"/>
      <name val="Calibri"/>
      <family val="2"/>
      <charset val="161"/>
      <scheme val="minor"/>
    </font>
    <font>
      <b/>
      <sz val="18"/>
      <color theme="3" tint="-0.499984740745262"/>
      <name val="Calibri"/>
      <family val="2"/>
      <scheme val="minor"/>
    </font>
    <font>
      <b/>
      <sz val="14"/>
      <color theme="3" tint="-0.499984740745262"/>
      <name val="Calibri"/>
      <family val="2"/>
      <scheme val="minor"/>
    </font>
    <font>
      <b/>
      <sz val="12"/>
      <color indexed="81"/>
      <name val="Arial"/>
      <family val="2"/>
    </font>
    <font>
      <sz val="12"/>
      <color indexed="81"/>
      <name val="Arial"/>
      <family val="2"/>
    </font>
    <font>
      <sz val="8"/>
      <color theme="1"/>
      <name val="Calibri"/>
      <family val="2"/>
      <scheme val="minor"/>
    </font>
    <font>
      <b/>
      <sz val="20"/>
      <name val="Calibri"/>
      <family val="2"/>
      <scheme val="minor"/>
    </font>
    <font>
      <b/>
      <sz val="20"/>
      <color rgb="FFC00000"/>
      <name val="Calibri"/>
      <family val="2"/>
      <scheme val="minor"/>
    </font>
    <font>
      <sz val="11"/>
      <name val="Calibri"/>
      <family val="2"/>
      <charset val="161"/>
      <scheme val="minor"/>
    </font>
    <font>
      <b/>
      <sz val="20"/>
      <color theme="7" tint="-0.499984740745262"/>
      <name val="Calibri"/>
      <family val="2"/>
      <scheme val="minor"/>
    </font>
    <font>
      <b/>
      <u/>
      <sz val="20"/>
      <color theme="7" tint="-0.499984740745262"/>
      <name val="Calibri"/>
      <family val="2"/>
      <scheme val="minor"/>
    </font>
    <font>
      <b/>
      <sz val="18"/>
      <color theme="7" tint="-0.499984740745262"/>
      <name val="Calibri"/>
      <family val="2"/>
      <scheme val="minor"/>
    </font>
    <font>
      <b/>
      <sz val="18"/>
      <color theme="1" tint="4.9989318521683403E-2"/>
      <name val="Calibri"/>
      <family val="2"/>
      <scheme val="minor"/>
    </font>
    <font>
      <b/>
      <sz val="8"/>
      <color theme="1"/>
      <name val="Calibri"/>
      <family val="2"/>
      <scheme val="minor"/>
    </font>
    <font>
      <b/>
      <sz val="8"/>
      <color rgb="FF0000FF"/>
      <name val="Calibri"/>
      <family val="2"/>
      <scheme val="minor"/>
    </font>
    <font>
      <sz val="9"/>
      <color indexed="81"/>
      <name val="Tahoma"/>
      <family val="2"/>
      <charset val="161"/>
    </font>
    <font>
      <b/>
      <sz val="9"/>
      <color indexed="81"/>
      <name val="Tahoma"/>
      <family val="2"/>
      <charset val="161"/>
    </font>
    <font>
      <b/>
      <sz val="14"/>
      <name val="Calibri"/>
      <family val="2"/>
      <charset val="161"/>
      <scheme val="minor"/>
    </font>
    <font>
      <sz val="14"/>
      <name val="Calibri"/>
      <family val="2"/>
      <charset val="161"/>
      <scheme val="minor"/>
    </font>
    <font>
      <b/>
      <sz val="16"/>
      <name val="Calibri"/>
      <family val="2"/>
      <charset val="161"/>
      <scheme val="minor"/>
    </font>
    <font>
      <b/>
      <sz val="24"/>
      <color theme="3" tint="-0.499984740745262"/>
      <name val="Calibri"/>
      <family val="2"/>
      <scheme val="minor"/>
    </font>
    <font>
      <b/>
      <sz val="26"/>
      <color theme="1"/>
      <name val="Calibri"/>
      <family val="2"/>
      <scheme val="minor"/>
    </font>
    <font>
      <b/>
      <sz val="28"/>
      <color theme="1"/>
      <name val="Calibri"/>
      <family val="2"/>
      <scheme val="minor"/>
    </font>
    <font>
      <b/>
      <sz val="14"/>
      <color rgb="FFC00000"/>
      <name val="Calibri"/>
      <family val="2"/>
      <scheme val="minor"/>
    </font>
    <font>
      <b/>
      <sz val="20"/>
      <color rgb="FF000000"/>
      <name val="Calibri"/>
      <family val="2"/>
    </font>
  </fonts>
  <fills count="25">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4"/>
        <bgColor theme="4"/>
      </patternFill>
    </fill>
    <fill>
      <patternFill patternType="solid">
        <fgColor theme="3" tint="0.79998168889431442"/>
        <bgColor indexed="64"/>
      </patternFill>
    </fill>
    <fill>
      <patternFill patternType="solid">
        <fgColor rgb="FFFF0000"/>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rgb="FFFF8B8B"/>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7" tint="0.39994506668294322"/>
        <bgColor indexed="64"/>
      </patternFill>
    </fill>
    <fill>
      <patternFill patternType="solid">
        <fgColor theme="7"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0" tint="-0.249977111117893"/>
        <bgColor theme="4"/>
      </patternFill>
    </fill>
    <fill>
      <patternFill patternType="solid">
        <fgColor theme="4" tint="0.59999389629810485"/>
        <bgColor indexed="64"/>
      </patternFill>
    </fill>
  </fills>
  <borders count="34">
    <border>
      <left/>
      <right/>
      <top/>
      <bottom/>
      <diagonal/>
    </border>
    <border>
      <left/>
      <right/>
      <top style="thin">
        <color theme="0"/>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Dashed">
        <color indexed="64"/>
      </right>
      <top style="medium">
        <color indexed="64"/>
      </top>
      <bottom/>
      <diagonal/>
    </border>
    <border>
      <left style="medium">
        <color indexed="64"/>
      </left>
      <right style="mediumDashed">
        <color indexed="64"/>
      </right>
      <top/>
      <bottom/>
      <diagonal/>
    </border>
    <border>
      <left style="medium">
        <color indexed="64"/>
      </left>
      <right style="mediumDashed">
        <color indexed="64"/>
      </right>
      <top/>
      <bottom style="mediumDashed">
        <color indexed="64"/>
      </bottom>
      <diagonal/>
    </border>
    <border>
      <left style="mediumDashed">
        <color indexed="64"/>
      </left>
      <right/>
      <top style="medium">
        <color indexed="64"/>
      </top>
      <bottom/>
      <diagonal/>
    </border>
    <border>
      <left/>
      <right style="mediumDashed">
        <color indexed="64"/>
      </right>
      <top style="medium">
        <color indexed="64"/>
      </top>
      <bottom/>
      <diagonal/>
    </border>
    <border>
      <left style="mediumDashed">
        <color indexed="64"/>
      </left>
      <right/>
      <top/>
      <bottom/>
      <diagonal/>
    </border>
    <border>
      <left/>
      <right style="mediumDashed">
        <color indexed="64"/>
      </right>
      <top/>
      <bottom/>
      <diagonal/>
    </border>
    <border>
      <left style="medium">
        <color indexed="64"/>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
      <left style="hair">
        <color auto="1"/>
      </left>
      <right style="hair">
        <color auto="1"/>
      </right>
      <top/>
      <bottom/>
      <diagonal/>
    </border>
    <border>
      <left style="mediumDashed">
        <color indexed="64"/>
      </left>
      <right style="mediumDashed">
        <color indexed="64"/>
      </right>
      <top style="mediumDashed">
        <color indexed="64"/>
      </top>
      <bottom style="mediumDashed">
        <color indexed="64"/>
      </bottom>
      <diagonal/>
    </border>
    <border>
      <left style="mediumDashed">
        <color auto="1"/>
      </left>
      <right style="mediumDashed">
        <color auto="1"/>
      </right>
      <top style="mediumDashed">
        <color auto="1"/>
      </top>
      <bottom style="dotted">
        <color auto="1"/>
      </bottom>
      <diagonal/>
    </border>
    <border>
      <left style="mediumDashed">
        <color auto="1"/>
      </left>
      <right style="mediumDashed">
        <color auto="1"/>
      </right>
      <top style="dotted">
        <color auto="1"/>
      </top>
      <bottom style="dashed">
        <color auto="1"/>
      </bottom>
      <diagonal/>
    </border>
    <border>
      <left/>
      <right/>
      <top style="mediumDashed">
        <color indexed="64"/>
      </top>
      <bottom style="mediumDashed">
        <color indexed="64"/>
      </bottom>
      <diagonal/>
    </border>
    <border>
      <left/>
      <right/>
      <top/>
      <bottom style="mediumDashed">
        <color auto="1"/>
      </bottom>
      <diagonal/>
    </border>
    <border>
      <left style="hair">
        <color auto="1"/>
      </left>
      <right style="hair">
        <color auto="1"/>
      </right>
      <top style="mediumDashed">
        <color auto="1"/>
      </top>
      <bottom/>
      <diagonal/>
    </border>
    <border>
      <left/>
      <right style="mediumDashed">
        <color indexed="64"/>
      </right>
      <top style="mediumDashed">
        <color indexed="64"/>
      </top>
      <bottom/>
      <diagonal/>
    </border>
    <border>
      <left/>
      <right style="mediumDashed">
        <color indexed="64"/>
      </right>
      <top/>
      <bottom style="mediumDashed">
        <color indexed="64"/>
      </bottom>
      <diagonal/>
    </border>
    <border>
      <left style="mediumDashed">
        <color indexed="64"/>
      </left>
      <right/>
      <top/>
      <bottom style="mediumDashed">
        <color indexed="64"/>
      </bottom>
      <diagonal/>
    </border>
    <border>
      <left style="mediumDashed">
        <color indexed="64"/>
      </left>
      <right style="mediumDashed">
        <color indexed="64"/>
      </right>
      <top/>
      <bottom style="mediumDashed">
        <color indexed="64"/>
      </bottom>
      <diagonal/>
    </border>
    <border>
      <left style="mediumDashed">
        <color indexed="64"/>
      </left>
      <right/>
      <top style="mediumDashed">
        <color indexed="64"/>
      </top>
      <bottom style="mediumDashed">
        <color indexed="64"/>
      </bottom>
      <diagonal/>
    </border>
    <border>
      <left style="medium">
        <color indexed="64"/>
      </left>
      <right style="mediumDashed">
        <color indexed="64"/>
      </right>
      <top style="mediumDashed">
        <color indexed="64"/>
      </top>
      <bottom style="mediumDashed">
        <color indexed="64"/>
      </bottom>
      <diagonal/>
    </border>
    <border>
      <left style="mediumDashed">
        <color indexed="64"/>
      </left>
      <right style="mediumDashed">
        <color indexed="64"/>
      </right>
      <top style="mediumDashed">
        <color indexed="64"/>
      </top>
      <bottom/>
      <diagonal/>
    </border>
    <border>
      <left/>
      <right/>
      <top style="mediumDashed">
        <color indexed="64"/>
      </top>
      <bottom/>
      <diagonal/>
    </border>
  </borders>
  <cellStyleXfs count="2">
    <xf numFmtId="0" fontId="0" fillId="0" borderId="0"/>
    <xf numFmtId="0" fontId="13" fillId="0" borderId="0" applyNumberFormat="0" applyFill="0" applyBorder="0" applyAlignment="0" applyProtection="0"/>
  </cellStyleXfs>
  <cellXfs count="139">
    <xf numFmtId="0" fontId="0" fillId="0" borderId="0" xfId="0"/>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shrinkToFit="1"/>
    </xf>
    <xf numFmtId="0" fontId="4" fillId="0" borderId="0" xfId="0" applyFont="1" applyAlignment="1">
      <alignment horizontal="center" vertical="center" wrapText="1"/>
    </xf>
    <xf numFmtId="0" fontId="5" fillId="7" borderId="0" xfId="0" applyFont="1" applyFill="1" applyAlignment="1">
      <alignment horizontal="center" vertical="center" wrapText="1"/>
    </xf>
    <xf numFmtId="0" fontId="6" fillId="9" borderId="2" xfId="0" applyFont="1" applyFill="1" applyBorder="1" applyAlignment="1">
      <alignment horizontal="center" vertical="center"/>
    </xf>
    <xf numFmtId="0" fontId="6" fillId="9" borderId="3" xfId="0" applyFont="1" applyFill="1" applyBorder="1" applyAlignment="1">
      <alignment horizontal="center" vertical="center"/>
    </xf>
    <xf numFmtId="0" fontId="0" fillId="10" borderId="0" xfId="0" applyFill="1" applyAlignment="1">
      <alignment horizontal="center" vertical="center"/>
    </xf>
    <xf numFmtId="0" fontId="7" fillId="7" borderId="0" xfId="0" applyFont="1" applyFill="1" applyAlignment="1">
      <alignment horizontal="center" vertical="center"/>
    </xf>
    <xf numFmtId="0" fontId="0" fillId="7" borderId="0" xfId="0" applyFill="1" applyAlignment="1">
      <alignment horizontal="center" vertical="center"/>
    </xf>
    <xf numFmtId="0" fontId="14" fillId="11" borderId="0" xfId="0" applyFont="1" applyFill="1" applyAlignment="1">
      <alignment horizontal="center" vertical="center" wrapText="1"/>
    </xf>
    <xf numFmtId="0" fontId="14" fillId="11" borderId="4" xfId="0" applyFont="1" applyFill="1" applyBorder="1" applyAlignment="1">
      <alignment horizontal="center" vertical="center" wrapText="1"/>
    </xf>
    <xf numFmtId="0" fontId="0" fillId="0" borderId="0" xfId="0" quotePrefix="1" applyAlignment="1">
      <alignment vertical="center"/>
    </xf>
    <xf numFmtId="0" fontId="7" fillId="7" borderId="12" xfId="0" applyFont="1" applyFill="1" applyBorder="1" applyAlignment="1">
      <alignment horizontal="center" vertical="center" wrapText="1"/>
    </xf>
    <xf numFmtId="0" fontId="10" fillId="13" borderId="4" xfId="0" applyFont="1" applyFill="1" applyBorder="1" applyAlignment="1">
      <alignment horizontal="center" vertical="center"/>
    </xf>
    <xf numFmtId="0" fontId="10" fillId="13" borderId="8" xfId="0" applyFont="1" applyFill="1" applyBorder="1" applyAlignment="1">
      <alignment horizontal="center" vertical="center"/>
    </xf>
    <xf numFmtId="0" fontId="19" fillId="13" borderId="4" xfId="0" applyFont="1" applyFill="1" applyBorder="1" applyAlignment="1">
      <alignment horizontal="center" vertical="center"/>
    </xf>
    <xf numFmtId="0" fontId="10" fillId="13" borderId="0" xfId="0" applyFont="1" applyFill="1" applyAlignment="1">
      <alignment horizontal="center" vertical="center"/>
    </xf>
    <xf numFmtId="0" fontId="9" fillId="4" borderId="0" xfId="0" applyFont="1" applyFill="1" applyAlignment="1">
      <alignment horizontal="center" vertical="center" shrinkToFit="1"/>
    </xf>
    <xf numFmtId="0" fontId="6" fillId="13" borderId="0" xfId="0" applyFont="1" applyFill="1" applyAlignment="1">
      <alignment horizontal="right" vertical="center" wrapText="1"/>
    </xf>
    <xf numFmtId="0" fontId="0" fillId="13" borderId="0" xfId="0" applyFill="1" applyAlignment="1">
      <alignment horizontal="center" vertical="center"/>
    </xf>
    <xf numFmtId="0" fontId="6" fillId="13" borderId="0" xfId="0" applyFont="1" applyFill="1" applyAlignment="1">
      <alignment horizontal="center" vertical="center"/>
    </xf>
    <xf numFmtId="0" fontId="20" fillId="13" borderId="0" xfId="0" applyFont="1" applyFill="1" applyAlignment="1">
      <alignment horizontal="left" vertical="center"/>
    </xf>
    <xf numFmtId="0" fontId="0" fillId="17" borderId="0" xfId="0" applyFill="1" applyAlignment="1">
      <alignment horizontal="center" vertical="center"/>
    </xf>
    <xf numFmtId="0" fontId="0" fillId="13" borderId="6" xfId="0" applyFill="1" applyBorder="1" applyAlignment="1">
      <alignment vertical="center"/>
    </xf>
    <xf numFmtId="0" fontId="0" fillId="13" borderId="6" xfId="0" applyFill="1" applyBorder="1" applyAlignment="1">
      <alignment horizontal="center" vertical="center"/>
    </xf>
    <xf numFmtId="0" fontId="4" fillId="13" borderId="0" xfId="0" applyFont="1" applyFill="1" applyAlignment="1">
      <alignment horizontal="center" vertical="center" wrapText="1"/>
    </xf>
    <xf numFmtId="0" fontId="6" fillId="13" borderId="6" xfId="0" quotePrefix="1" applyFont="1" applyFill="1" applyBorder="1" applyAlignment="1">
      <alignment vertical="center" wrapText="1"/>
    </xf>
    <xf numFmtId="1" fontId="0" fillId="18" borderId="14" xfId="0" applyNumberFormat="1" applyFill="1" applyBorder="1" applyAlignment="1">
      <alignment horizontal="center" vertical="center"/>
    </xf>
    <xf numFmtId="1" fontId="0" fillId="18" borderId="15" xfId="0" applyNumberFormat="1" applyFill="1" applyBorder="1" applyAlignment="1">
      <alignment horizontal="center" vertical="center"/>
    </xf>
    <xf numFmtId="1" fontId="0" fillId="18" borderId="16" xfId="0" applyNumberFormat="1" applyFill="1" applyBorder="1" applyAlignment="1">
      <alignment horizontal="center" vertical="center"/>
    </xf>
    <xf numFmtId="1" fontId="0" fillId="17" borderId="0" xfId="0" applyNumberFormat="1" applyFill="1" applyAlignment="1">
      <alignment horizontal="center" vertical="center"/>
    </xf>
    <xf numFmtId="1" fontId="22" fillId="18" borderId="13" xfId="0" applyNumberFormat="1" applyFont="1" applyFill="1" applyBorder="1" applyAlignment="1">
      <alignment horizontal="center" vertical="center"/>
    </xf>
    <xf numFmtId="0" fontId="23" fillId="19" borderId="4" xfId="0" applyFont="1" applyFill="1" applyBorder="1" applyAlignment="1">
      <alignment horizontal="center" vertical="center"/>
    </xf>
    <xf numFmtId="0" fontId="23" fillId="19" borderId="9" xfId="0" applyFont="1" applyFill="1" applyBorder="1" applyAlignment="1">
      <alignment horizontal="center" vertical="center"/>
    </xf>
    <xf numFmtId="0" fontId="0" fillId="0" borderId="1" xfId="0" applyBorder="1" applyAlignment="1">
      <alignment vertical="center" shrinkToFit="1"/>
    </xf>
    <xf numFmtId="1" fontId="0" fillId="0" borderId="0" xfId="0" applyNumberFormat="1" applyAlignment="1">
      <alignment vertical="center"/>
    </xf>
    <xf numFmtId="1" fontId="0" fillId="0" borderId="0" xfId="0" quotePrefix="1" applyNumberFormat="1" applyAlignment="1">
      <alignment vertical="center"/>
    </xf>
    <xf numFmtId="0" fontId="17" fillId="12" borderId="0" xfId="0" applyFont="1" applyFill="1" applyAlignment="1">
      <alignment horizontal="center" vertical="center" wrapText="1" shrinkToFit="1"/>
      <extLst>
        <ext xmlns:xfpb="http://schemas.microsoft.com/office/spreadsheetml/2022/featurepropertybag" uri="{C7286773-470A-42A8-94C5-96B5CB345126}">
          <xfpb:xfComplement i="0"/>
        </ext>
      </extLst>
    </xf>
    <xf numFmtId="0" fontId="26" fillId="20" borderId="0" xfId="0" applyFont="1" applyFill="1" applyAlignment="1">
      <alignment horizontal="center" vertical="center" wrapText="1"/>
    </xf>
    <xf numFmtId="0" fontId="6" fillId="21" borderId="0" xfId="0" applyFont="1" applyFill="1" applyAlignment="1">
      <alignment horizontal="center" vertical="center"/>
    </xf>
    <xf numFmtId="0" fontId="0" fillId="21" borderId="0" xfId="0" applyFill="1" applyAlignment="1">
      <alignment horizontal="center" vertical="center"/>
    </xf>
    <xf numFmtId="0" fontId="0" fillId="21" borderId="0" xfId="0" applyFill="1" applyAlignment="1">
      <alignment vertical="center" shrinkToFit="1"/>
    </xf>
    <xf numFmtId="0" fontId="3" fillId="21" borderId="0" xfId="0" applyFont="1" applyFill="1" applyAlignment="1">
      <alignment vertical="center"/>
    </xf>
    <xf numFmtId="0" fontId="0" fillId="21" borderId="0" xfId="0" applyFill="1" applyAlignment="1">
      <alignment vertical="center"/>
    </xf>
    <xf numFmtId="0" fontId="0" fillId="21" borderId="4" xfId="0" applyFill="1" applyBorder="1" applyAlignment="1">
      <alignment horizontal="center" vertical="center"/>
    </xf>
    <xf numFmtId="0" fontId="0" fillId="21" borderId="4" xfId="0" applyFill="1" applyBorder="1" applyAlignment="1">
      <alignment vertical="center" shrinkToFit="1"/>
    </xf>
    <xf numFmtId="0" fontId="0" fillId="21" borderId="4" xfId="0" applyFill="1" applyBorder="1" applyAlignment="1">
      <alignment vertical="center"/>
    </xf>
    <xf numFmtId="0" fontId="5" fillId="7" borderId="19" xfId="0" applyFont="1" applyFill="1" applyBorder="1" applyAlignment="1">
      <alignment horizontal="center" vertical="center" wrapText="1" shrinkToFit="1"/>
    </xf>
    <xf numFmtId="0" fontId="5" fillId="7" borderId="19" xfId="0" applyFont="1" applyFill="1" applyBorder="1" applyAlignment="1">
      <alignment horizontal="center" vertical="center" wrapText="1"/>
    </xf>
    <xf numFmtId="0" fontId="22" fillId="3" borderId="19" xfId="0" applyFont="1" applyFill="1" applyBorder="1" applyAlignment="1">
      <alignment vertical="center" shrinkToFit="1"/>
    </xf>
    <xf numFmtId="0" fontId="22" fillId="3" borderId="19" xfId="0" applyFont="1" applyFill="1" applyBorder="1" applyAlignment="1">
      <alignment horizontal="center" vertical="center"/>
    </xf>
    <xf numFmtId="0" fontId="0" fillId="0" borderId="19" xfId="0" applyBorder="1" applyAlignment="1">
      <alignment vertical="center" shrinkToFit="1"/>
    </xf>
    <xf numFmtId="0" fontId="0" fillId="0" borderId="19" xfId="0" applyBorder="1" applyAlignment="1">
      <alignment horizontal="center" vertical="center"/>
    </xf>
    <xf numFmtId="0" fontId="7" fillId="8" borderId="0" xfId="0" applyFont="1" applyFill="1" applyAlignment="1">
      <alignment horizontal="left" vertical="center" shrinkToFit="1"/>
    </xf>
    <xf numFmtId="0" fontId="15" fillId="0" borderId="0" xfId="0" applyFont="1" applyAlignment="1">
      <alignment vertical="center"/>
    </xf>
    <xf numFmtId="0" fontId="2" fillId="0" borderId="0" xfId="0" applyFont="1" applyAlignment="1">
      <alignment vertical="center"/>
    </xf>
    <xf numFmtId="0" fontId="7" fillId="0" borderId="0" xfId="0" applyFont="1" applyAlignment="1">
      <alignment vertical="center"/>
    </xf>
    <xf numFmtId="0" fontId="32" fillId="22" borderId="0" xfId="0" applyFont="1" applyFill="1" applyAlignment="1">
      <alignment horizontal="center" vertical="center" wrapText="1"/>
    </xf>
    <xf numFmtId="0" fontId="18" fillId="23" borderId="0" xfId="0" applyFont="1" applyFill="1" applyAlignment="1">
      <alignment horizontal="center" vertical="center"/>
    </xf>
    <xf numFmtId="0" fontId="17" fillId="22" borderId="0" xfId="0" applyFont="1" applyFill="1" applyAlignment="1">
      <alignment horizontal="center" vertical="center"/>
      <extLst>
        <ext xmlns:xfpb="http://schemas.microsoft.com/office/spreadsheetml/2022/featurepropertybag" uri="{C7286773-470A-42A8-94C5-96B5CB345126}">
          <xfpb:xfComplement i="0"/>
        </ext>
      </extLst>
    </xf>
    <xf numFmtId="0" fontId="16" fillId="22" borderId="0" xfId="0" applyFont="1" applyFill="1" applyAlignment="1">
      <alignment horizontal="right" vertical="center" wrapText="1"/>
    </xf>
    <xf numFmtId="0" fontId="0" fillId="0" borderId="0" xfId="0" applyAlignment="1">
      <alignment vertical="top" wrapText="1"/>
    </xf>
    <xf numFmtId="0" fontId="22" fillId="3" borderId="19" xfId="0" applyFont="1" applyFill="1" applyBorder="1" applyAlignment="1">
      <alignment horizontal="center" vertical="center" shrinkToFit="1"/>
    </xf>
    <xf numFmtId="0" fontId="0" fillId="3" borderId="0" xfId="0" applyFill="1" applyAlignment="1">
      <alignment vertical="center" shrinkToFit="1"/>
    </xf>
    <xf numFmtId="0" fontId="36" fillId="0" borderId="0" xfId="0" applyFont="1" applyAlignment="1">
      <alignment horizontal="left" vertical="center"/>
    </xf>
    <xf numFmtId="0" fontId="36" fillId="3" borderId="0" xfId="0" applyFont="1" applyFill="1" applyAlignment="1">
      <alignment horizontal="left" vertical="center" shrinkToFit="1"/>
    </xf>
    <xf numFmtId="0" fontId="27" fillId="5" borderId="17" xfId="0" applyFont="1" applyFill="1" applyBorder="1" applyAlignment="1">
      <alignment horizontal="center" vertical="center" wrapText="1" shrinkToFit="1"/>
    </xf>
    <xf numFmtId="0" fontId="0" fillId="16" borderId="0" xfId="0" applyFill="1" applyAlignment="1">
      <alignment horizontal="center" vertical="center"/>
    </xf>
    <xf numFmtId="0" fontId="27" fillId="6" borderId="20" xfId="0" applyFont="1" applyFill="1" applyBorder="1" applyAlignment="1">
      <alignment horizontal="center" vertical="center"/>
    </xf>
    <xf numFmtId="0" fontId="27" fillId="5" borderId="20" xfId="0" applyFont="1" applyFill="1" applyBorder="1" applyAlignment="1">
      <alignment horizontal="center" vertical="center"/>
    </xf>
    <xf numFmtId="0" fontId="27" fillId="5" borderId="20" xfId="0" applyFont="1" applyFill="1" applyBorder="1" applyAlignment="1">
      <alignment horizontal="right" vertical="center"/>
    </xf>
    <xf numFmtId="0" fontId="27" fillId="16" borderId="20" xfId="0" applyFont="1" applyFill="1" applyBorder="1" applyAlignment="1">
      <alignment horizontal="right" vertical="center"/>
    </xf>
    <xf numFmtId="0" fontId="0" fillId="2" borderId="0" xfId="0" applyFill="1" applyAlignment="1">
      <alignment horizontal="center" vertical="center"/>
    </xf>
    <xf numFmtId="0" fontId="0" fillId="15" borderId="0" xfId="0" applyFill="1" applyAlignment="1">
      <alignment vertical="center"/>
    </xf>
    <xf numFmtId="0" fontId="39" fillId="15" borderId="0" xfId="0" applyFont="1" applyFill="1" applyAlignment="1">
      <alignment horizontal="left" vertical="center"/>
    </xf>
    <xf numFmtId="0" fontId="39" fillId="0" borderId="0" xfId="0" applyFont="1"/>
    <xf numFmtId="0" fontId="39" fillId="0" borderId="0" xfId="0" applyFont="1" applyAlignment="1">
      <alignment vertical="center" shrinkToFit="1"/>
    </xf>
    <xf numFmtId="0" fontId="39" fillId="0" borderId="0" xfId="0" applyFont="1" applyAlignment="1">
      <alignment shrinkToFit="1"/>
    </xf>
    <xf numFmtId="0" fontId="42" fillId="24" borderId="22" xfId="0" applyFont="1" applyFill="1" applyBorder="1" applyAlignment="1">
      <alignment horizontal="center" vertical="center" shrinkToFit="1"/>
    </xf>
    <xf numFmtId="0" fontId="43" fillId="24" borderId="22" xfId="0" applyFont="1" applyFill="1" applyBorder="1" applyAlignment="1">
      <alignment horizontal="center" vertical="center"/>
    </xf>
    <xf numFmtId="0" fontId="42" fillId="24" borderId="22" xfId="0" applyFont="1" applyFill="1" applyBorder="1" applyAlignment="1">
      <alignment horizontal="center" vertical="center"/>
    </xf>
    <xf numFmtId="0" fontId="36" fillId="0" borderId="0" xfId="0" applyFont="1" applyAlignment="1">
      <alignment vertical="center"/>
    </xf>
    <xf numFmtId="0" fontId="45" fillId="3" borderId="19" xfId="0" applyFont="1" applyFill="1" applyBorder="1" applyAlignment="1">
      <alignment vertical="center"/>
    </xf>
    <xf numFmtId="0" fontId="36" fillId="0" borderId="19" xfId="0" applyFont="1" applyBorder="1" applyAlignment="1">
      <alignment vertical="center"/>
    </xf>
    <xf numFmtId="0" fontId="44" fillId="0" borderId="0" xfId="0" applyFont="1" applyAlignment="1">
      <alignment horizontal="center" vertical="center"/>
    </xf>
    <xf numFmtId="0" fontId="44" fillId="0" borderId="24" xfId="0" applyFont="1" applyBorder="1" applyAlignment="1">
      <alignment horizontal="center" vertical="center"/>
    </xf>
    <xf numFmtId="0" fontId="12" fillId="7" borderId="25" xfId="0" applyFont="1" applyFill="1" applyBorder="1" applyAlignment="1">
      <alignment horizontal="center" vertical="center" wrapText="1"/>
    </xf>
    <xf numFmtId="0" fontId="5" fillId="7" borderId="25" xfId="0" applyFont="1" applyFill="1" applyBorder="1" applyAlignment="1">
      <alignment horizontal="center" vertical="center" wrapText="1"/>
    </xf>
    <xf numFmtId="0" fontId="10" fillId="0" borderId="0" xfId="0" applyFont="1" applyAlignment="1">
      <alignment horizontal="center" vertical="center" wrapText="1"/>
    </xf>
    <xf numFmtId="0" fontId="10" fillId="0" borderId="24" xfId="0" applyFont="1" applyBorder="1" applyAlignment="1">
      <alignment horizontal="center" vertical="center" wrapText="1"/>
    </xf>
    <xf numFmtId="0" fontId="28" fillId="16" borderId="16" xfId="0" applyFont="1" applyFill="1" applyBorder="1" applyAlignment="1">
      <alignment horizontal="left" vertical="center" wrapText="1" shrinkToFit="1"/>
    </xf>
    <xf numFmtId="0" fontId="27" fillId="16" borderId="20" xfId="0" applyFont="1" applyFill="1" applyBorder="1" applyAlignment="1">
      <alignment horizontal="right" vertical="center" wrapText="1"/>
    </xf>
    <xf numFmtId="0" fontId="27" fillId="5" borderId="15" xfId="0" applyFont="1" applyFill="1" applyBorder="1" applyAlignment="1">
      <alignment vertical="center"/>
    </xf>
    <xf numFmtId="0" fontId="27" fillId="5" borderId="28" xfId="0" applyFont="1" applyFill="1" applyBorder="1" applyAlignment="1">
      <alignment vertical="center"/>
    </xf>
    <xf numFmtId="0" fontId="0" fillId="5" borderId="18" xfId="0" applyFill="1" applyBorder="1" applyAlignment="1">
      <alignment vertical="center" shrinkToFit="1"/>
    </xf>
    <xf numFmtId="0" fontId="27" fillId="16" borderId="31" xfId="0" applyFont="1" applyFill="1" applyBorder="1" applyAlignment="1">
      <alignment horizontal="right" vertical="center" wrapText="1" shrinkToFit="1"/>
    </xf>
    <xf numFmtId="0" fontId="27" fillId="5" borderId="31" xfId="0" applyFont="1" applyFill="1" applyBorder="1" applyAlignment="1">
      <alignment horizontal="right" vertical="center" wrapText="1" shrinkToFit="1"/>
    </xf>
    <xf numFmtId="0" fontId="8" fillId="16" borderId="31" xfId="0" applyFont="1" applyFill="1" applyBorder="1" applyAlignment="1">
      <alignment horizontal="right" vertical="center" wrapText="1" shrinkToFit="1"/>
    </xf>
    <xf numFmtId="0" fontId="1" fillId="3" borderId="0" xfId="0" applyFont="1" applyFill="1" applyAlignment="1">
      <alignment horizontal="left" vertical="center" shrinkToFit="1"/>
    </xf>
    <xf numFmtId="0" fontId="27" fillId="15" borderId="23" xfId="0" applyFont="1" applyFill="1" applyBorder="1" applyAlignment="1">
      <alignment vertical="center"/>
    </xf>
    <xf numFmtId="0" fontId="27" fillId="15" borderId="30" xfId="0" applyFont="1" applyFill="1" applyBorder="1" applyAlignment="1" applyProtection="1">
      <alignment vertical="center"/>
      <protection locked="0"/>
    </xf>
    <xf numFmtId="0" fontId="52" fillId="6" borderId="29"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27" fillId="6" borderId="20" xfId="0" applyFont="1" applyFill="1" applyBorder="1" applyAlignment="1" applyProtection="1">
      <alignment horizontal="center" vertical="center"/>
      <protection locked="0"/>
    </xf>
    <xf numFmtId="0" fontId="53" fillId="6" borderId="20"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52" fillId="6" borderId="20"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9" fillId="0" borderId="0" xfId="0" applyFont="1" applyProtection="1">
      <protection locked="0"/>
    </xf>
    <xf numFmtId="0" fontId="54" fillId="5" borderId="15" xfId="0" applyFont="1" applyFill="1" applyBorder="1" applyAlignment="1">
      <alignment horizontal="right" vertical="center" wrapText="1"/>
    </xf>
    <xf numFmtId="0" fontId="6" fillId="2" borderId="33" xfId="0" applyFont="1" applyFill="1" applyBorder="1" applyAlignment="1">
      <alignment horizontal="center" vertical="top" textRotation="255"/>
    </xf>
    <xf numFmtId="0" fontId="6" fillId="2" borderId="0" xfId="0" applyFont="1" applyFill="1" applyAlignment="1">
      <alignment horizontal="center" vertical="top" textRotation="255"/>
    </xf>
    <xf numFmtId="0" fontId="0" fillId="16" borderId="0" xfId="0" applyFill="1" applyAlignment="1">
      <alignment horizontal="center" vertical="center"/>
    </xf>
    <xf numFmtId="0" fontId="28" fillId="16" borderId="26" xfId="0" applyFont="1" applyFill="1" applyBorder="1" applyAlignment="1">
      <alignment horizontal="left" vertical="center" wrapText="1" shrinkToFit="1"/>
    </xf>
    <xf numFmtId="0" fontId="28" fillId="16" borderId="16" xfId="0" applyFont="1" applyFill="1" applyBorder="1" applyAlignment="1">
      <alignment horizontal="left" vertical="center" wrapText="1" shrinkToFit="1"/>
    </xf>
    <xf numFmtId="0" fontId="31" fillId="15" borderId="28" xfId="1" applyFont="1" applyFill="1" applyBorder="1" applyAlignment="1" applyProtection="1">
      <alignment horizontal="left" vertical="center"/>
      <protection locked="0"/>
    </xf>
    <xf numFmtId="0" fontId="31" fillId="15" borderId="24" xfId="1" applyFont="1" applyFill="1" applyBorder="1" applyAlignment="1" applyProtection="1">
      <alignment horizontal="left" vertical="center"/>
      <protection locked="0"/>
    </xf>
    <xf numFmtId="0" fontId="31" fillId="15" borderId="27" xfId="1" applyFont="1" applyFill="1" applyBorder="1" applyAlignment="1" applyProtection="1">
      <alignment horizontal="left" vertical="center"/>
      <protection locked="0"/>
    </xf>
    <xf numFmtId="0" fontId="51" fillId="5" borderId="32" xfId="0" applyFont="1" applyFill="1" applyBorder="1" applyAlignment="1">
      <alignment horizontal="center" vertical="center" shrinkToFit="1"/>
    </xf>
    <xf numFmtId="0" fontId="51" fillId="5" borderId="29" xfId="0" applyFont="1" applyFill="1" applyBorder="1" applyAlignment="1">
      <alignment horizontal="center" vertical="center" shrinkToFit="1"/>
    </xf>
    <xf numFmtId="0" fontId="40" fillId="24" borderId="21" xfId="0" applyFont="1" applyFill="1" applyBorder="1" applyAlignment="1">
      <alignment horizontal="center" vertical="center" shrinkToFit="1"/>
    </xf>
    <xf numFmtId="0" fontId="6" fillId="0" borderId="4" xfId="0" applyFont="1" applyBorder="1" applyAlignment="1">
      <alignment horizontal="center" vertical="center"/>
    </xf>
    <xf numFmtId="0" fontId="19" fillId="5" borderId="0" xfId="0" applyFont="1" applyFill="1" applyAlignment="1">
      <alignment horizontal="left" vertical="center" wrapText="1"/>
    </xf>
    <xf numFmtId="0" fontId="19" fillId="5" borderId="0" xfId="0" applyFont="1" applyFill="1" applyAlignment="1">
      <alignment horizontal="left" vertical="center"/>
    </xf>
    <xf numFmtId="0" fontId="19" fillId="21" borderId="0" xfId="0" applyFont="1" applyFill="1" applyAlignment="1">
      <alignment horizontal="left" vertical="center" wrapText="1"/>
    </xf>
    <xf numFmtId="0" fontId="19" fillId="21" borderId="0" xfId="0" applyFont="1" applyFill="1" applyAlignment="1">
      <alignment horizontal="left" vertical="center"/>
    </xf>
    <xf numFmtId="0" fontId="6" fillId="11" borderId="0" xfId="0" applyFont="1" applyFill="1" applyAlignment="1">
      <alignment horizontal="left" vertical="center" wrapText="1"/>
    </xf>
    <xf numFmtId="0" fontId="6" fillId="11" borderId="4" xfId="0" applyFont="1" applyFill="1" applyBorder="1" applyAlignment="1">
      <alignment horizontal="left" vertical="center" wrapText="1"/>
    </xf>
    <xf numFmtId="0" fontId="6" fillId="7" borderId="0" xfId="0" applyFont="1" applyFill="1" applyAlignment="1">
      <alignment horizontal="center" vertical="center" wrapText="1"/>
    </xf>
    <xf numFmtId="0" fontId="10" fillId="11" borderId="6" xfId="0" applyFont="1" applyFill="1" applyBorder="1" applyAlignment="1">
      <alignment horizontal="center" vertical="center" wrapText="1"/>
    </xf>
    <xf numFmtId="0" fontId="10" fillId="11" borderId="0" xfId="0" applyFont="1" applyFill="1" applyAlignment="1">
      <alignment horizontal="center" vertical="center" wrapText="1"/>
    </xf>
    <xf numFmtId="0" fontId="6" fillId="7" borderId="10" xfId="0" applyFont="1" applyFill="1" applyBorder="1" applyAlignment="1">
      <alignment horizontal="center" vertical="center" wrapText="1"/>
    </xf>
    <xf numFmtId="0" fontId="6" fillId="7" borderId="11" xfId="0" applyFont="1" applyFill="1" applyBorder="1" applyAlignment="1">
      <alignment horizontal="center" vertical="center" wrapText="1"/>
    </xf>
    <xf numFmtId="0" fontId="6" fillId="7" borderId="6" xfId="0" applyFont="1" applyFill="1" applyBorder="1" applyAlignment="1">
      <alignment horizontal="center" vertical="center" wrapText="1"/>
    </xf>
    <xf numFmtId="0" fontId="20" fillId="7" borderId="5" xfId="0" applyFont="1" applyFill="1" applyBorder="1" applyAlignment="1">
      <alignment horizontal="center" vertical="center"/>
    </xf>
    <xf numFmtId="0" fontId="20" fillId="7" borderId="0" xfId="0" applyFont="1" applyFill="1" applyAlignment="1">
      <alignment horizontal="center" vertical="center"/>
    </xf>
    <xf numFmtId="0" fontId="20" fillId="7" borderId="7" xfId="0" applyFont="1" applyFill="1" applyBorder="1" applyAlignment="1">
      <alignment horizontal="center" vertical="center"/>
    </xf>
    <xf numFmtId="0" fontId="6" fillId="14" borderId="0" xfId="0" applyFont="1" applyFill="1" applyAlignment="1">
      <alignment horizontal="center" vertical="center"/>
    </xf>
    <xf numFmtId="0" fontId="6" fillId="0" borderId="0" xfId="0" applyFont="1" applyAlignment="1">
      <alignment horizontal="center" vertical="center" wrapText="1"/>
    </xf>
    <xf numFmtId="0" fontId="21" fillId="0" borderId="0" xfId="0" quotePrefix="1" applyFont="1" applyAlignment="1">
      <alignment horizontal="left" vertical="center" wrapText="1"/>
    </xf>
  </cellXfs>
  <cellStyles count="2">
    <cellStyle name="Hyperlink" xfId="1" builtinId="8"/>
    <cellStyle name="Normal" xfId="0" builtinId="0"/>
  </cellStyles>
  <dxfs count="12">
    <dxf>
      <font>
        <b val="0"/>
        <i val="0"/>
      </font>
      <fill>
        <patternFill>
          <bgColor theme="4" tint="0.79998168889431442"/>
        </patternFill>
      </fill>
    </dxf>
    <dxf>
      <font>
        <b/>
        <i val="0"/>
      </font>
      <fill>
        <patternFill>
          <bgColor theme="5" tint="0.39994506668294322"/>
        </patternFill>
      </fill>
    </dxf>
    <dxf>
      <fill>
        <patternFill>
          <bgColor theme="6" tint="0.39994506668294322"/>
        </patternFill>
      </fill>
    </dxf>
    <dxf>
      <fill>
        <patternFill>
          <bgColor theme="3" tint="0.59996337778862885"/>
        </patternFill>
      </fill>
    </dxf>
    <dxf>
      <fill>
        <patternFill patternType="none">
          <bgColor auto="1"/>
        </patternFill>
      </fill>
    </dxf>
    <dxf>
      <fill>
        <patternFill>
          <bgColor theme="3" tint="0.79998168889431442"/>
        </patternFill>
      </fill>
    </dxf>
    <dxf>
      <fill>
        <patternFill>
          <bgColor theme="3" tint="0.59996337778862885"/>
        </patternFill>
      </fill>
    </dxf>
    <dxf>
      <fill>
        <patternFill>
          <bgColor theme="3" tint="0.79998168889431442"/>
        </patternFill>
      </fill>
    </dxf>
    <dxf>
      <font>
        <b/>
        <i/>
        <strike/>
        <color rgb="FF0070C0"/>
      </font>
      <fill>
        <patternFill>
          <bgColor theme="0" tint="-0.34998626667073579"/>
        </patternFill>
      </fill>
    </dxf>
    <dxf>
      <fill>
        <patternFill>
          <bgColor rgb="FFFF0000"/>
        </patternFill>
      </fill>
    </dxf>
    <dxf>
      <fill>
        <patternFill>
          <bgColor theme="3" tint="0.59996337778862885"/>
        </patternFill>
      </fill>
    </dxf>
    <dxf>
      <fill>
        <patternFill>
          <bgColor theme="3" tint="0.59996337778862885"/>
        </patternFill>
      </fill>
    </dxf>
  </dxfs>
  <tableStyles count="0" defaultTableStyle="TableStyleMedium9" defaultPivotStyle="PivotStyleLight16"/>
  <colors>
    <mruColors>
      <color rgb="FFFF7C80"/>
      <color rgb="FFFF8B8B"/>
      <color rgb="FFFF505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10</xdr:col>
      <xdr:colOff>940593</xdr:colOff>
      <xdr:row>0</xdr:row>
      <xdr:rowOff>0</xdr:rowOff>
    </xdr:from>
    <xdr:to>
      <xdr:col>10</xdr:col>
      <xdr:colOff>2369343</xdr:colOff>
      <xdr:row>2</xdr:row>
      <xdr:rowOff>-1</xdr:rowOff>
    </xdr:to>
    <xdr:pic macro="[0]!select_folder">
      <xdr:nvPicPr>
        <xdr:cNvPr id="4" name="Graphic 3" descr="Open folder with solid fill">
          <a:extLst>
            <a:ext uri="{FF2B5EF4-FFF2-40B4-BE49-F238E27FC236}">
              <a16:creationId xmlns:a16="http://schemas.microsoft.com/office/drawing/2014/main" id="{171E8906-AFAC-4D2D-A6A2-1BC997D7CD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145249" y="0"/>
          <a:ext cx="1428750" cy="881062"/>
        </a:xfrm>
        <a:prstGeom prst="rect">
          <a:avLst/>
        </a:prstGeom>
      </xdr:spPr>
    </xdr:pic>
    <xdr:clientData/>
  </xdr:twoCellAnchor>
  <xdr:twoCellAnchor editAs="oneCell">
    <xdr:from>
      <xdr:col>11</xdr:col>
      <xdr:colOff>11907</xdr:colOff>
      <xdr:row>0</xdr:row>
      <xdr:rowOff>200296</xdr:rowOff>
    </xdr:from>
    <xdr:to>
      <xdr:col>11</xdr:col>
      <xdr:colOff>988219</xdr:colOff>
      <xdr:row>2</xdr:row>
      <xdr:rowOff>33336</xdr:rowOff>
    </xdr:to>
    <xdr:pic macro="[0]!restorefunactionality">
      <xdr:nvPicPr>
        <xdr:cNvPr id="3" name="Graphic 2" descr="Circular flowchart with solid fill">
          <a:extLst>
            <a:ext uri="{FF2B5EF4-FFF2-40B4-BE49-F238E27FC236}">
              <a16:creationId xmlns:a16="http://schemas.microsoft.com/office/drawing/2014/main" id="{E9D7433E-CD30-4090-BB0E-EA0C1ED07C1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978938" y="200296"/>
          <a:ext cx="976312" cy="7141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5461000</xdr:colOff>
          <xdr:row>0</xdr:row>
          <xdr:rowOff>38100</xdr:rowOff>
        </xdr:from>
        <xdr:to>
          <xdr:col>1</xdr:col>
          <xdr:colOff>0</xdr:colOff>
          <xdr:row>0</xdr:row>
          <xdr:rowOff>495300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00"/>
                  </a:solidFill>
                  <a:latin typeface="Calibri"/>
                  <a:cs typeface="Calibri"/>
                </a:rPr>
                <a:t>&gt;&gt; RENAME &lt;&lt;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7366000</xdr:colOff>
          <xdr:row>0</xdr:row>
          <xdr:rowOff>247650</xdr:rowOff>
        </xdr:from>
        <xdr:to>
          <xdr:col>1</xdr:col>
          <xdr:colOff>1352550</xdr:colOff>
          <xdr:row>1</xdr:row>
          <xdr:rowOff>133350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00"/>
                  </a:solidFill>
                  <a:latin typeface="Calibri"/>
                  <a:cs typeface="Calibri"/>
                </a:rPr>
                <a:t>&gt;&gt; RENAME &lt;&lt;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190500</xdr:colOff>
      <xdr:row>0</xdr:row>
      <xdr:rowOff>19050</xdr:rowOff>
    </xdr:from>
    <xdr:to>
      <xdr:col>15</xdr:col>
      <xdr:colOff>28575</xdr:colOff>
      <xdr:row>46</xdr:row>
      <xdr:rowOff>19050</xdr:rowOff>
    </xdr:to>
    <xdr:sp macro="" textlink="">
      <xdr:nvSpPr>
        <xdr:cNvPr id="2" name="Rectangle 1">
          <a:extLst>
            <a:ext uri="{FF2B5EF4-FFF2-40B4-BE49-F238E27FC236}">
              <a16:creationId xmlns:a16="http://schemas.microsoft.com/office/drawing/2014/main" id="{791C794D-CD2B-2AD5-DCDB-633BAF54116C}"/>
            </a:ext>
          </a:extLst>
        </xdr:cNvPr>
        <xdr:cNvSpPr/>
      </xdr:nvSpPr>
      <xdr:spPr>
        <a:xfrm>
          <a:off x="6029325" y="19050"/>
          <a:ext cx="9439275" cy="9324975"/>
        </a:xfrm>
        <a:prstGeom prst="rect">
          <a:avLst/>
        </a:prstGeom>
        <a:solidFill>
          <a:schemeClr val="accent6">
            <a:lumMod val="20000"/>
            <a:lumOff val="8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7030A0"/>
              </a:solidFill>
            </a:rPr>
            <a:t>LEGACY OR TESTING</a:t>
          </a:r>
          <a:endParaRPr lang="LID4096" sz="4000">
            <a:solidFill>
              <a:srgbClr val="7030A0"/>
            </a:solidFill>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96"/>
  <sheetViews>
    <sheetView tabSelected="1" zoomScale="80" zoomScaleNormal="80" workbookViewId="0">
      <pane ySplit="8" topLeftCell="A9" activePane="bottomLeft" state="frozen"/>
      <selection pane="bottomLeft" activeCell="D14" sqref="D14"/>
    </sheetView>
  </sheetViews>
  <sheetFormatPr defaultColWidth="9.453125" defaultRowHeight="14.5" x14ac:dyDescent="0.35"/>
  <cols>
    <col min="1" max="1" width="8.453125" style="1" customWidth="1"/>
    <col min="2" max="2" width="83" style="3" customWidth="1"/>
    <col min="3" max="4" width="65.7265625" style="2" customWidth="1"/>
    <col min="5" max="5" width="12.7265625" style="1" hidden="1" customWidth="1"/>
    <col min="6" max="7" width="50.7265625" style="83" hidden="1" customWidth="1"/>
    <col min="8" max="8" width="20.7265625" style="83" hidden="1" customWidth="1"/>
    <col min="9" max="9" width="5.1796875" style="74" customWidth="1"/>
    <col min="10" max="11" width="50.7265625" style="3" customWidth="1"/>
    <col min="12" max="12" width="51.1796875" style="66" customWidth="1"/>
    <col min="13" max="13" width="54" style="2" customWidth="1"/>
    <col min="14" max="16384" width="9.453125" style="2"/>
  </cols>
  <sheetData>
    <row r="1" spans="1:13" ht="35.15" customHeight="1" thickBot="1" x14ac:dyDescent="0.4">
      <c r="A1" s="111"/>
      <c r="B1" s="112" t="s">
        <v>174</v>
      </c>
      <c r="C1" s="73" t="s">
        <v>178</v>
      </c>
      <c r="D1" s="114" t="s">
        <v>194</v>
      </c>
      <c r="E1" s="115"/>
      <c r="F1" s="115"/>
      <c r="G1" s="115"/>
      <c r="H1" s="115"/>
      <c r="I1" s="115"/>
      <c r="J1" s="116"/>
      <c r="K1" s="117" t="s">
        <v>177</v>
      </c>
      <c r="L1" s="108" t="s">
        <v>193</v>
      </c>
      <c r="M1" s="94"/>
    </row>
    <row r="2" spans="1:13" ht="35.15" customHeight="1" thickBot="1" x14ac:dyDescent="0.4">
      <c r="A2" s="111"/>
      <c r="B2" s="113"/>
      <c r="C2" s="72" t="s">
        <v>191</v>
      </c>
      <c r="D2" s="102"/>
      <c r="E2" s="101"/>
      <c r="F2" s="101"/>
      <c r="G2" s="101"/>
      <c r="H2" s="101"/>
      <c r="I2" s="109" t="s">
        <v>189</v>
      </c>
      <c r="J2" s="96" t="s">
        <v>179</v>
      </c>
      <c r="K2" s="118"/>
      <c r="L2" s="108"/>
      <c r="M2" s="94"/>
    </row>
    <row r="3" spans="1:13" ht="45" customHeight="1" thickBot="1" x14ac:dyDescent="0.4">
      <c r="A3" s="111"/>
      <c r="B3" s="113"/>
      <c r="C3" s="73" t="s">
        <v>181</v>
      </c>
      <c r="D3" s="103" t="b">
        <v>0</v>
      </c>
      <c r="E3" s="90"/>
      <c r="H3" s="86"/>
      <c r="I3" s="110"/>
      <c r="J3" s="97" t="s">
        <v>183</v>
      </c>
      <c r="K3" s="106" t="b">
        <v>0</v>
      </c>
      <c r="L3" s="94"/>
      <c r="M3" s="94"/>
    </row>
    <row r="4" spans="1:13" ht="48.75" customHeight="1" thickBot="1" x14ac:dyDescent="0.4">
      <c r="A4" s="111"/>
      <c r="B4" s="113"/>
      <c r="C4" s="72" t="s">
        <v>180</v>
      </c>
      <c r="D4" s="70" t="str">
        <f>IF(SearchFL, ROWS(_xlfn.ANCHORARRAY(B9)), "/\ enable Search in FileSystem /\")</f>
        <v>/\ enable Search in FileSystem /\</v>
      </c>
      <c r="E4" s="90"/>
      <c r="H4" s="86"/>
      <c r="I4" s="110"/>
      <c r="J4" s="98" t="s">
        <v>184</v>
      </c>
      <c r="K4" s="71" t="str">
        <f>IF( $K$3, ROWS(_xlfn.ANCHORARRAY( $M$9) ), "/\ enable Folder Rename /\")</f>
        <v>/\ enable Folder Rename /\</v>
      </c>
      <c r="L4" s="94"/>
      <c r="M4" s="94"/>
    </row>
    <row r="5" spans="1:13" ht="48.75" customHeight="1" thickBot="1" x14ac:dyDescent="0.4">
      <c r="A5" s="69"/>
      <c r="B5" s="92"/>
      <c r="C5" s="93" t="s">
        <v>188</v>
      </c>
      <c r="D5" s="104">
        <v>0</v>
      </c>
      <c r="E5" s="90"/>
      <c r="F5" s="86"/>
      <c r="G5" s="86"/>
      <c r="H5" s="86"/>
      <c r="I5" s="110"/>
      <c r="J5" s="98" t="s">
        <v>187</v>
      </c>
      <c r="K5" s="104">
        <v>0</v>
      </c>
      <c r="L5" s="94"/>
      <c r="M5" s="94"/>
    </row>
    <row r="6" spans="1:13" ht="48.75" customHeight="1" thickBot="1" x14ac:dyDescent="0.4">
      <c r="A6" s="69"/>
      <c r="B6" s="92"/>
      <c r="C6" s="93" t="s">
        <v>190</v>
      </c>
      <c r="D6" s="105" t="b">
        <v>0</v>
      </c>
      <c r="E6" s="90"/>
      <c r="F6" s="86"/>
      <c r="G6" s="86"/>
      <c r="H6" s="86"/>
      <c r="I6" s="110"/>
      <c r="J6" s="99" t="s">
        <v>185</v>
      </c>
      <c r="K6" s="106" t="b">
        <v>0</v>
      </c>
      <c r="L6" s="94"/>
      <c r="M6" s="94"/>
    </row>
    <row r="7" spans="1:13" ht="48.75" customHeight="1" thickBot="1" x14ac:dyDescent="0.4">
      <c r="A7" s="69"/>
      <c r="B7" s="92"/>
      <c r="C7" s="72" t="s">
        <v>182</v>
      </c>
      <c r="D7" s="71" t="str">
        <f>IF(AND(SearchFL, CalcFL&lt;&gt;0), D4-SUM(_xlfn.ANCHORARRAY($E$9)),"enable /OR/ 0 - pick 1/2 rename options")</f>
        <v>enable /OR/ 0 - pick 1/2 rename options</v>
      </c>
      <c r="E7" s="91"/>
      <c r="F7" s="87"/>
      <c r="G7" s="87"/>
      <c r="H7" s="87"/>
      <c r="I7" s="110"/>
      <c r="J7" s="98" t="s">
        <v>186</v>
      </c>
      <c r="K7" s="71" cm="1">
        <f t="array" ref="K7">IF( AND( $K$3,  $K$5), SUM( IF(ISNA(_xlfn.ANCHORARRAY($J$9)),0,1) ), 0)</f>
        <v>0</v>
      </c>
      <c r="L7" s="95"/>
      <c r="M7" s="95"/>
    </row>
    <row r="8" spans="1:13" s="4" customFormat="1" ht="40" customHeight="1" thickBot="1" x14ac:dyDescent="0.4">
      <c r="A8" s="5" t="s">
        <v>107</v>
      </c>
      <c r="B8" s="49" t="s">
        <v>0</v>
      </c>
      <c r="C8" s="50" t="s">
        <v>162</v>
      </c>
      <c r="D8" s="50" t="s">
        <v>108</v>
      </c>
      <c r="E8" s="88" t="s">
        <v>111</v>
      </c>
      <c r="F8" s="89" t="s">
        <v>110</v>
      </c>
      <c r="G8" s="89" t="s">
        <v>109</v>
      </c>
      <c r="H8" s="89" t="s">
        <v>163</v>
      </c>
      <c r="I8" s="110"/>
      <c r="J8" s="68" t="s">
        <v>175</v>
      </c>
      <c r="K8" s="68" t="s">
        <v>176</v>
      </c>
      <c r="L8" s="68" t="s">
        <v>164</v>
      </c>
      <c r="M8" s="68" t="s">
        <v>192</v>
      </c>
    </row>
    <row r="9" spans="1:13" ht="25.5" customHeight="1" x14ac:dyDescent="0.35">
      <c r="A9" s="64" t="str" cm="1">
        <f t="array" ref="A9">IF(SearchFL, _xlfn.SEQUENCE($D$4,1,1,1), "-")</f>
        <v>-</v>
      </c>
      <c r="B9" s="51" t="str" cm="1">
        <f t="array" ref="B9">IF( SearchFL=TRUE, TRANSPOSE( FindRecursiveFiles( $D$2,myFilePath,1) ), "Write 'path' in D2 OR press Folder Icon to choose!" )</f>
        <v>Write 'path' in D2 OR press Folder Icon to choose!</v>
      </c>
      <c r="C9" s="51" t="str" cm="1">
        <f t="array" ref="C9">IF(AND($D$3,$D$4&gt;0), IFERROR( _xlfn.TEXTAFTER( MID(_xlfn.ANCHORARRAY($B$9), FilePathLen, 1000),"\",-1),"-"), " awaiting choices ")</f>
        <v xml:space="preserve"> awaiting choices </v>
      </c>
      <c r="D9" s="51" t="str" cm="1">
        <f t="array" ref="D9">IF(AND(SearchFL,$D$4&gt;0),
    _xlfn.LET( _xlpm.vl_str,_xlfn.ANCHORARRAY( $C$9), _xlpm.str_frm,_xlfn.ANCHORARRAY( 'Choises &amp; Info'!$H$7), _xlpm.lst_aa, _xlfn.SEQUENCE( ROWS( _xlpm.str_frm) ), _xlpm.reg_xpress_1, "([^a-zA-Z0-9])\1+", _xlpm.reg_xpress_2, "[^a-zA-Z0-9{}\[\]()\- .'_]",
      _xlpm.res_1, IF( $D$5=0, "Select &gt;&gt; 1 : Excel &lt;&lt;   or &gt;&gt; 2 : VBA &lt;&lt;    ...in D3",
                 IF( $D$5=1, _xlfn.REDUCE(_xlpm.vl_str, _xlpm.lst_aa, _xlfn.LAMBDA(_xlpm.prev,_xlpm.i, SUBSTITUTE(_xlpm.prev, INDEX(_xlpm.str_frm, _xlpm.i, 1), INDEX(_xlpm.str_frm, _xlpm.i, 2) ) ) ),
                 MultSubsttt( _xlpm.vl_str, _xlpm.str_frm ) ) ),
      IF($D$6, _xlfn.REGEXREPLACE(_xlpm.res_1,_xlpm.reg_xpress_1, "\1"), _xlpm.res_1) ), " Awaiting choices")</f>
        <v xml:space="preserve"> Awaiting choices</v>
      </c>
      <c r="E9" s="52" t="str" cm="1">
        <f t="array" ref="E9">IF($D$5, 1 * EXACT(_xlfn.ANCHORARRAY( C9),_xlfn.ANCHORARRAY( D9)), "-")</f>
        <v>-</v>
      </c>
      <c r="F9" s="84" t="str" cm="1">
        <f t="array" ref="F9:G9">IF( $D$5&lt;&gt;0, _xlfn.LET( _xlpm.clmn_01, IF(_xlfn.ANCHORARRAY( $E$9)=0,_xlfn.ANCHORARRAY( $B$9),""), _xlpm.clmn_03, IF(_xlfn.ANCHORARRAY( $E$9)=0, _xlfn.TEXTBEFORE(_xlfn.ANCHORARRAY( $B$9), "\", -1)&amp;"\", ""), _xlpm.clmn_02, IF(_xlfn.ANCHORARRAY( $E$9)=0, _xlpm.clmn_03 &amp;_xlfn.ANCHORARRAY( $D$9), ""),
       _xlfn.HSTACK( _xlpm.clmn_01, _xlpm.clmn_02, _xlpm.clmn_03)), _xlfn.TEXTSPLIT( REPT("-",20)&amp; "  &gt;&gt; will show ORIGINALS &lt;\&gt; and CHANGES when available &lt;&lt;","\") )</f>
        <v>--------------------  &gt;&gt; will show ORIGINALS &lt;</v>
      </c>
      <c r="G9" s="84" t="str">
        <v>&gt; and CHANGES when available &lt;&lt;</v>
      </c>
      <c r="H9" s="84"/>
      <c r="I9" s="110"/>
      <c r="J9" s="51" t="str" cm="1">
        <f t="array" ref="J9" xml:space="preserve"> IF( AND($K$3=TRUE, $K$4&gt;0, LEN($M$9)&gt;2),
  _xlfn.LET( _xlpm.vl_str_0, MID(_xlfn.ANCHORARRAY($M$9), FilePathLen,1000),
      _xlpm.vl_str_1, _xlfn.TEXTBEFORE( _xlpm.vl_str_0, "\", -1), _xlpm.vl_str_2, _xlfn.TEXTAFTER( _xlpm.vl_str_0,"\",-1),
      _xlpm.str_frm,_xlfn.ANCHORARRAY( 'Choises &amp; Info'!$H$7), _xlpm.lst_aa, _xlfn.SEQUENCE( ROWS( _xlpm.str_frm) ), _xlpm.reg_xpress_1, "([^a-zA-Z0-9])\1+",
      _xlpm.res_1, IF( $K$5=0, "Select &gt;&gt; 1 : Folder Rename &lt;&lt;",
                 _xlfn.REDUCE(_xlpm.vl_str_2, _xlpm.lst_aa, _xlfn.LAMBDA(_xlpm.prev,_xlpm.i, SUBSTITUTE(_xlpm.prev, INDEX(_xlpm.str_frm, _xlpm.i, 1), INDEX(_xlpm.str_frm, _xlpm.i, 2) ) ) ) ),
      _xlpm.res_2, IF( $K$6, _xlfn.REGEXREPLACE(_xlpm.res_1,_xlpm.reg_xpress_1, "\1"), _xlpm.res_1),
      _xlpm.compare_01, 1* IFERROR( EXACT( _xlpm.vl_str_2, _xlpm.res_2), 0), _xlpm.ttl_rws, UpdateNmRng( ROWS( _xlpm.vl_str_0) ),
      _xlpm.res_3, _xlfn._xlws.FILTER( IF( $K$5=1, _xlfn.HSTACK( _xlpm.vl_str_2, _xlpm.res_2, myFilePath &amp; _xlpm.vl_str_1), _xlpm.vl_str_2), _xlpm.compare_01=0, NA()),
      _xlpm.res_3
), "&gt;&gt; Read from FileSystem | Enable Folder Renaming &lt;&lt;")</f>
        <v>&gt;&gt; Read from FileSystem | Enable Folder Renaming &lt;&lt;</v>
      </c>
      <c r="K9" s="65"/>
      <c r="L9" s="67"/>
      <c r="M9" s="100" t="str" cm="1">
        <f t="array" ref="M9" xml:space="preserve"> IF( $K$3,
  _xlfn.LET( _xlpm.fldr_list, TRANSPOSE( FindRecursiveFiles( $D$2,myFilePath,2) ),
      _xlpm.vl_str_0, _xlfn.UNIQUE( _xlpm.fldr_list ),
      _xlpm.res_1,_xlfn._xlws.FILTER( _xlpm.vl_str_0, LEN( _xlpm.vl_str_0)&gt; FilePathLen,"-"),
      _xlpm.res_1
), "&gt;&gt; Read from FileSystem | Enable Folder Renaming &lt;&lt;")</f>
        <v>&gt;&gt; Read from FileSystem | Enable Folder Renaming &lt;&lt;</v>
      </c>
    </row>
    <row r="10" spans="1:13" x14ac:dyDescent="0.35">
      <c r="B10" s="53"/>
      <c r="C10" s="53"/>
      <c r="D10" s="53"/>
      <c r="E10" s="54"/>
      <c r="F10" s="85"/>
      <c r="G10" s="85"/>
      <c r="I10" s="110"/>
    </row>
    <row r="11" spans="1:13" x14ac:dyDescent="0.35">
      <c r="B11" s="53"/>
      <c r="C11" s="53"/>
      <c r="D11" s="53"/>
      <c r="E11" s="54"/>
      <c r="F11" s="85"/>
      <c r="G11" s="85"/>
      <c r="I11" s="110"/>
    </row>
    <row r="12" spans="1:13" x14ac:dyDescent="0.35">
      <c r="B12" s="53"/>
      <c r="C12" s="53"/>
      <c r="D12" s="53"/>
      <c r="E12" s="54"/>
      <c r="F12" s="85"/>
      <c r="G12" s="85"/>
      <c r="I12" s="110"/>
    </row>
    <row r="13" spans="1:13" x14ac:dyDescent="0.35">
      <c r="B13" s="53"/>
      <c r="C13" s="53"/>
      <c r="D13" s="53"/>
      <c r="E13" s="54"/>
      <c r="F13" s="85"/>
      <c r="G13" s="85"/>
      <c r="I13" s="110"/>
    </row>
    <row r="14" spans="1:13" x14ac:dyDescent="0.35">
      <c r="B14" s="53"/>
      <c r="C14" s="53"/>
      <c r="D14" s="53"/>
      <c r="E14" s="54"/>
      <c r="F14" s="85"/>
      <c r="G14" s="85"/>
      <c r="I14" s="110"/>
    </row>
    <row r="15" spans="1:13" x14ac:dyDescent="0.35">
      <c r="C15" s="3"/>
      <c r="D15" s="3"/>
    </row>
    <row r="16" spans="1:13" x14ac:dyDescent="0.35">
      <c r="C16" s="3"/>
      <c r="D16" s="3"/>
    </row>
    <row r="17" spans="3:4" x14ac:dyDescent="0.35">
      <c r="C17" s="3"/>
      <c r="D17" s="3"/>
    </row>
    <row r="18" spans="3:4" x14ac:dyDescent="0.35">
      <c r="C18" s="3"/>
      <c r="D18" s="3"/>
    </row>
    <row r="19" spans="3:4" x14ac:dyDescent="0.35">
      <c r="C19" s="3"/>
      <c r="D19" s="3"/>
    </row>
    <row r="20" spans="3:4" x14ac:dyDescent="0.35">
      <c r="C20" s="3"/>
      <c r="D20" s="3"/>
    </row>
    <row r="21" spans="3:4" x14ac:dyDescent="0.35">
      <c r="C21" s="3"/>
      <c r="D21" s="3"/>
    </row>
    <row r="22" spans="3:4" x14ac:dyDescent="0.35">
      <c r="C22" s="3"/>
      <c r="D22" s="3"/>
    </row>
    <row r="23" spans="3:4" x14ac:dyDescent="0.35">
      <c r="C23" s="3"/>
      <c r="D23" s="3"/>
    </row>
    <row r="24" spans="3:4" x14ac:dyDescent="0.35">
      <c r="C24" s="3"/>
      <c r="D24" s="3"/>
    </row>
    <row r="25" spans="3:4" x14ac:dyDescent="0.35">
      <c r="C25" s="3"/>
      <c r="D25" s="3"/>
    </row>
    <row r="26" spans="3:4" x14ac:dyDescent="0.35">
      <c r="C26" s="3"/>
      <c r="D26" s="3"/>
    </row>
    <row r="27" spans="3:4" x14ac:dyDescent="0.35">
      <c r="C27" s="3"/>
      <c r="D27" s="3"/>
    </row>
    <row r="28" spans="3:4" x14ac:dyDescent="0.35">
      <c r="C28" s="3"/>
      <c r="D28" s="3"/>
    </row>
    <row r="29" spans="3:4" x14ac:dyDescent="0.35">
      <c r="C29" s="3"/>
      <c r="D29" s="3"/>
    </row>
    <row r="30" spans="3:4" x14ac:dyDescent="0.35">
      <c r="C30" s="3"/>
      <c r="D30" s="3"/>
    </row>
    <row r="31" spans="3:4" x14ac:dyDescent="0.35">
      <c r="C31" s="3"/>
      <c r="D31" s="3"/>
    </row>
    <row r="32" spans="3:4" x14ac:dyDescent="0.35">
      <c r="C32" s="3"/>
      <c r="D32" s="3"/>
    </row>
    <row r="33" spans="3:4" x14ac:dyDescent="0.35">
      <c r="C33" s="3"/>
      <c r="D33" s="3"/>
    </row>
    <row r="34" spans="3:4" x14ac:dyDescent="0.35">
      <c r="C34" s="3"/>
      <c r="D34" s="3"/>
    </row>
    <row r="35" spans="3:4" x14ac:dyDescent="0.35">
      <c r="C35" s="3"/>
      <c r="D35" s="3"/>
    </row>
    <row r="36" spans="3:4" x14ac:dyDescent="0.35">
      <c r="C36" s="3"/>
      <c r="D36" s="3"/>
    </row>
    <row r="37" spans="3:4" x14ac:dyDescent="0.35">
      <c r="C37" s="3"/>
      <c r="D37" s="3"/>
    </row>
    <row r="38" spans="3:4" x14ac:dyDescent="0.35">
      <c r="C38" s="3"/>
      <c r="D38" s="3"/>
    </row>
    <row r="39" spans="3:4" x14ac:dyDescent="0.35">
      <c r="C39" s="3"/>
      <c r="D39" s="3"/>
    </row>
    <row r="40" spans="3:4" x14ac:dyDescent="0.35">
      <c r="C40" s="3"/>
      <c r="D40" s="3"/>
    </row>
    <row r="41" spans="3:4" x14ac:dyDescent="0.35">
      <c r="C41" s="3"/>
      <c r="D41" s="3"/>
    </row>
    <row r="42" spans="3:4" x14ac:dyDescent="0.35">
      <c r="C42" s="3"/>
      <c r="D42" s="3"/>
    </row>
    <row r="43" spans="3:4" x14ac:dyDescent="0.35">
      <c r="C43" s="3"/>
      <c r="D43" s="3"/>
    </row>
    <row r="44" spans="3:4" x14ac:dyDescent="0.35">
      <c r="C44" s="3"/>
      <c r="D44" s="3"/>
    </row>
    <row r="45" spans="3:4" x14ac:dyDescent="0.35">
      <c r="C45" s="3"/>
      <c r="D45" s="3"/>
    </row>
    <row r="46" spans="3:4" x14ac:dyDescent="0.35">
      <c r="C46" s="3"/>
      <c r="D46" s="3"/>
    </row>
    <row r="47" spans="3:4" x14ac:dyDescent="0.35">
      <c r="C47" s="3"/>
      <c r="D47" s="3"/>
    </row>
    <row r="48" spans="3:4" x14ac:dyDescent="0.35">
      <c r="C48" s="3"/>
      <c r="D48" s="3"/>
    </row>
    <row r="49" spans="3:4" x14ac:dyDescent="0.35">
      <c r="C49" s="3"/>
      <c r="D49" s="3"/>
    </row>
    <row r="50" spans="3:4" x14ac:dyDescent="0.35">
      <c r="C50" s="3"/>
      <c r="D50" s="3"/>
    </row>
    <row r="51" spans="3:4" x14ac:dyDescent="0.35">
      <c r="C51" s="3"/>
      <c r="D51" s="3"/>
    </row>
    <row r="52" spans="3:4" x14ac:dyDescent="0.35">
      <c r="C52" s="3"/>
      <c r="D52" s="3"/>
    </row>
    <row r="53" spans="3:4" x14ac:dyDescent="0.35">
      <c r="C53" s="3"/>
      <c r="D53" s="3"/>
    </row>
    <row r="54" spans="3:4" x14ac:dyDescent="0.35">
      <c r="C54" s="3"/>
      <c r="D54" s="3"/>
    </row>
    <row r="55" spans="3:4" x14ac:dyDescent="0.35">
      <c r="C55" s="3"/>
      <c r="D55" s="3"/>
    </row>
    <row r="56" spans="3:4" x14ac:dyDescent="0.35">
      <c r="C56" s="3"/>
      <c r="D56" s="3"/>
    </row>
    <row r="57" spans="3:4" x14ac:dyDescent="0.35">
      <c r="C57" s="3"/>
      <c r="D57" s="3"/>
    </row>
    <row r="58" spans="3:4" x14ac:dyDescent="0.35">
      <c r="C58" s="3"/>
      <c r="D58" s="3"/>
    </row>
    <row r="59" spans="3:4" x14ac:dyDescent="0.35">
      <c r="C59" s="3"/>
      <c r="D59" s="3"/>
    </row>
    <row r="60" spans="3:4" x14ac:dyDescent="0.35">
      <c r="C60" s="3"/>
      <c r="D60" s="3"/>
    </row>
    <row r="61" spans="3:4" x14ac:dyDescent="0.35">
      <c r="C61" s="3"/>
      <c r="D61" s="3"/>
    </row>
    <row r="62" spans="3:4" x14ac:dyDescent="0.35">
      <c r="C62" s="3"/>
      <c r="D62" s="3"/>
    </row>
    <row r="63" spans="3:4" x14ac:dyDescent="0.35">
      <c r="C63" s="3"/>
      <c r="D63" s="3"/>
    </row>
    <row r="64" spans="3:4" x14ac:dyDescent="0.35">
      <c r="C64" s="3"/>
      <c r="D64" s="3"/>
    </row>
    <row r="65" spans="3:4" x14ac:dyDescent="0.35">
      <c r="C65" s="3"/>
      <c r="D65" s="3"/>
    </row>
    <row r="66" spans="3:4" x14ac:dyDescent="0.35">
      <c r="C66" s="3"/>
      <c r="D66" s="3"/>
    </row>
    <row r="67" spans="3:4" x14ac:dyDescent="0.35">
      <c r="C67" s="3"/>
      <c r="D67" s="3"/>
    </row>
    <row r="68" spans="3:4" x14ac:dyDescent="0.35">
      <c r="C68" s="3"/>
      <c r="D68" s="3"/>
    </row>
    <row r="69" spans="3:4" x14ac:dyDescent="0.35">
      <c r="C69" s="3"/>
      <c r="D69" s="3"/>
    </row>
    <row r="70" spans="3:4" x14ac:dyDescent="0.35">
      <c r="C70" s="3"/>
      <c r="D70" s="3"/>
    </row>
    <row r="71" spans="3:4" x14ac:dyDescent="0.35">
      <c r="C71" s="3"/>
      <c r="D71" s="3"/>
    </row>
    <row r="72" spans="3:4" x14ac:dyDescent="0.35">
      <c r="C72" s="3"/>
      <c r="D72" s="3"/>
    </row>
    <row r="73" spans="3:4" x14ac:dyDescent="0.35">
      <c r="C73" s="3"/>
      <c r="D73" s="3"/>
    </row>
    <row r="74" spans="3:4" x14ac:dyDescent="0.35">
      <c r="C74" s="3"/>
      <c r="D74" s="3"/>
    </row>
    <row r="75" spans="3:4" x14ac:dyDescent="0.35">
      <c r="C75" s="3"/>
      <c r="D75" s="3"/>
    </row>
    <row r="76" spans="3:4" x14ac:dyDescent="0.35">
      <c r="C76" s="3"/>
      <c r="D76" s="3"/>
    </row>
    <row r="77" spans="3:4" x14ac:dyDescent="0.35">
      <c r="C77" s="3"/>
      <c r="D77" s="3"/>
    </row>
    <row r="78" spans="3:4" x14ac:dyDescent="0.35">
      <c r="C78" s="3"/>
      <c r="D78" s="3"/>
    </row>
    <row r="79" spans="3:4" x14ac:dyDescent="0.35">
      <c r="C79" s="3"/>
      <c r="D79" s="3"/>
    </row>
    <row r="80" spans="3:4" x14ac:dyDescent="0.35">
      <c r="C80" s="3"/>
      <c r="D80" s="3"/>
    </row>
    <row r="81" spans="3:4" x14ac:dyDescent="0.35">
      <c r="C81" s="3"/>
      <c r="D81" s="3"/>
    </row>
    <row r="82" spans="3:4" x14ac:dyDescent="0.35">
      <c r="C82" s="3"/>
      <c r="D82" s="3"/>
    </row>
    <row r="83" spans="3:4" x14ac:dyDescent="0.35">
      <c r="C83" s="3"/>
      <c r="D83" s="3"/>
    </row>
    <row r="84" spans="3:4" x14ac:dyDescent="0.35">
      <c r="C84" s="3"/>
      <c r="D84" s="3"/>
    </row>
    <row r="85" spans="3:4" x14ac:dyDescent="0.35">
      <c r="C85" s="3"/>
      <c r="D85" s="3"/>
    </row>
    <row r="86" spans="3:4" x14ac:dyDescent="0.35">
      <c r="C86" s="3"/>
      <c r="D86" s="3"/>
    </row>
    <row r="87" spans="3:4" x14ac:dyDescent="0.35">
      <c r="C87" s="3"/>
      <c r="D87" s="3"/>
    </row>
    <row r="88" spans="3:4" x14ac:dyDescent="0.35">
      <c r="C88" s="3"/>
      <c r="D88" s="3"/>
    </row>
    <row r="89" spans="3:4" x14ac:dyDescent="0.35">
      <c r="C89" s="3"/>
      <c r="D89" s="3"/>
    </row>
    <row r="90" spans="3:4" x14ac:dyDescent="0.35">
      <c r="C90" s="3"/>
      <c r="D90" s="3"/>
    </row>
    <row r="91" spans="3:4" x14ac:dyDescent="0.35">
      <c r="C91" s="3"/>
      <c r="D91" s="3"/>
    </row>
    <row r="92" spans="3:4" x14ac:dyDescent="0.35">
      <c r="C92" s="3"/>
      <c r="D92" s="3"/>
    </row>
    <row r="93" spans="3:4" x14ac:dyDescent="0.35">
      <c r="C93" s="3"/>
      <c r="D93" s="3"/>
    </row>
    <row r="94" spans="3:4" x14ac:dyDescent="0.35">
      <c r="C94" s="3"/>
      <c r="D94" s="3"/>
    </row>
    <row r="95" spans="3:4" x14ac:dyDescent="0.35">
      <c r="C95" s="3"/>
      <c r="D95" s="3"/>
    </row>
    <row r="96" spans="3:4" x14ac:dyDescent="0.35">
      <c r="C96" s="3"/>
      <c r="D96" s="3"/>
    </row>
    <row r="97" spans="3:4" x14ac:dyDescent="0.35">
      <c r="C97" s="3"/>
      <c r="D97" s="3"/>
    </row>
    <row r="98" spans="3:4" x14ac:dyDescent="0.35">
      <c r="C98" s="3"/>
      <c r="D98" s="3"/>
    </row>
    <row r="99" spans="3:4" x14ac:dyDescent="0.35">
      <c r="C99" s="3"/>
      <c r="D99" s="3"/>
    </row>
    <row r="100" spans="3:4" x14ac:dyDescent="0.35">
      <c r="C100" s="3"/>
      <c r="D100" s="3"/>
    </row>
    <row r="101" spans="3:4" x14ac:dyDescent="0.35">
      <c r="C101" s="3"/>
      <c r="D101" s="3"/>
    </row>
    <row r="102" spans="3:4" x14ac:dyDescent="0.35">
      <c r="C102" s="3"/>
      <c r="D102" s="3"/>
    </row>
    <row r="103" spans="3:4" x14ac:dyDescent="0.35">
      <c r="C103" s="3"/>
      <c r="D103" s="3"/>
    </row>
    <row r="104" spans="3:4" x14ac:dyDescent="0.35">
      <c r="C104" s="3"/>
      <c r="D104" s="3"/>
    </row>
    <row r="105" spans="3:4" x14ac:dyDescent="0.35">
      <c r="C105" s="3"/>
      <c r="D105" s="3"/>
    </row>
    <row r="106" spans="3:4" x14ac:dyDescent="0.35">
      <c r="C106" s="3"/>
      <c r="D106" s="3"/>
    </row>
    <row r="107" spans="3:4" x14ac:dyDescent="0.35">
      <c r="C107" s="3"/>
      <c r="D107" s="3"/>
    </row>
    <row r="108" spans="3:4" x14ac:dyDescent="0.35">
      <c r="C108" s="3"/>
      <c r="D108" s="3"/>
    </row>
    <row r="109" spans="3:4" x14ac:dyDescent="0.35">
      <c r="C109" s="3"/>
      <c r="D109" s="3"/>
    </row>
    <row r="110" spans="3:4" x14ac:dyDescent="0.35">
      <c r="C110" s="3"/>
      <c r="D110" s="3"/>
    </row>
    <row r="111" spans="3:4" x14ac:dyDescent="0.35">
      <c r="C111" s="3"/>
      <c r="D111" s="3"/>
    </row>
    <row r="112" spans="3:4" x14ac:dyDescent="0.35">
      <c r="C112" s="3"/>
      <c r="D112" s="3"/>
    </row>
    <row r="113" spans="3:4" x14ac:dyDescent="0.35">
      <c r="C113" s="3"/>
      <c r="D113" s="3"/>
    </row>
    <row r="114" spans="3:4" x14ac:dyDescent="0.35">
      <c r="C114" s="3"/>
      <c r="D114" s="3"/>
    </row>
    <row r="115" spans="3:4" x14ac:dyDescent="0.35">
      <c r="C115" s="3"/>
      <c r="D115" s="3"/>
    </row>
    <row r="116" spans="3:4" x14ac:dyDescent="0.35">
      <c r="C116" s="3"/>
      <c r="D116" s="3"/>
    </row>
    <row r="117" spans="3:4" x14ac:dyDescent="0.35">
      <c r="C117" s="3"/>
      <c r="D117" s="3"/>
    </row>
    <row r="118" spans="3:4" x14ac:dyDescent="0.35">
      <c r="C118" s="3"/>
      <c r="D118" s="3"/>
    </row>
    <row r="119" spans="3:4" x14ac:dyDescent="0.35">
      <c r="C119" s="3"/>
      <c r="D119" s="3"/>
    </row>
    <row r="120" spans="3:4" x14ac:dyDescent="0.35">
      <c r="C120" s="3"/>
      <c r="D120" s="3"/>
    </row>
    <row r="121" spans="3:4" x14ac:dyDescent="0.35">
      <c r="C121" s="3"/>
      <c r="D121" s="3"/>
    </row>
    <row r="122" spans="3:4" x14ac:dyDescent="0.35">
      <c r="C122" s="3"/>
      <c r="D122" s="3"/>
    </row>
    <row r="123" spans="3:4" x14ac:dyDescent="0.35">
      <c r="C123" s="3"/>
      <c r="D123" s="3"/>
    </row>
    <row r="124" spans="3:4" x14ac:dyDescent="0.35">
      <c r="C124" s="3"/>
      <c r="D124" s="3"/>
    </row>
    <row r="125" spans="3:4" x14ac:dyDescent="0.35">
      <c r="C125" s="3"/>
      <c r="D125" s="3"/>
    </row>
    <row r="126" spans="3:4" x14ac:dyDescent="0.35">
      <c r="C126" s="3"/>
      <c r="D126" s="3"/>
    </row>
    <row r="127" spans="3:4" x14ac:dyDescent="0.35">
      <c r="C127" s="3"/>
      <c r="D127" s="3"/>
    </row>
    <row r="128" spans="3:4" x14ac:dyDescent="0.35">
      <c r="C128" s="3"/>
      <c r="D128" s="3"/>
    </row>
    <row r="129" spans="3:4" x14ac:dyDescent="0.35">
      <c r="C129" s="3"/>
      <c r="D129" s="3"/>
    </row>
    <row r="130" spans="3:4" x14ac:dyDescent="0.35">
      <c r="C130" s="3"/>
      <c r="D130" s="3"/>
    </row>
    <row r="131" spans="3:4" x14ac:dyDescent="0.35">
      <c r="C131" s="3"/>
      <c r="D131" s="3"/>
    </row>
    <row r="132" spans="3:4" x14ac:dyDescent="0.35">
      <c r="C132" s="3"/>
      <c r="D132" s="3"/>
    </row>
    <row r="133" spans="3:4" x14ac:dyDescent="0.35">
      <c r="C133" s="3"/>
      <c r="D133" s="3"/>
    </row>
    <row r="134" spans="3:4" x14ac:dyDescent="0.35">
      <c r="C134" s="3"/>
      <c r="D134" s="3"/>
    </row>
    <row r="135" spans="3:4" x14ac:dyDescent="0.35">
      <c r="C135" s="3"/>
      <c r="D135" s="3"/>
    </row>
    <row r="136" spans="3:4" x14ac:dyDescent="0.35">
      <c r="C136" s="3"/>
      <c r="D136" s="3"/>
    </row>
    <row r="137" spans="3:4" x14ac:dyDescent="0.35">
      <c r="C137" s="3"/>
      <c r="D137" s="3"/>
    </row>
    <row r="138" spans="3:4" x14ac:dyDescent="0.35">
      <c r="C138" s="3"/>
      <c r="D138" s="3"/>
    </row>
    <row r="139" spans="3:4" x14ac:dyDescent="0.35">
      <c r="C139" s="3"/>
      <c r="D139" s="3"/>
    </row>
    <row r="140" spans="3:4" x14ac:dyDescent="0.35">
      <c r="C140" s="3"/>
      <c r="D140" s="3"/>
    </row>
    <row r="141" spans="3:4" x14ac:dyDescent="0.35">
      <c r="C141" s="3"/>
      <c r="D141" s="3"/>
    </row>
    <row r="142" spans="3:4" x14ac:dyDescent="0.35">
      <c r="C142" s="3"/>
      <c r="D142" s="3"/>
    </row>
    <row r="143" spans="3:4" x14ac:dyDescent="0.35">
      <c r="C143" s="3"/>
      <c r="D143" s="3"/>
    </row>
    <row r="144" spans="3:4" x14ac:dyDescent="0.35">
      <c r="C144" s="3"/>
      <c r="D144" s="3"/>
    </row>
    <row r="145" spans="3:4" x14ac:dyDescent="0.35">
      <c r="C145" s="3"/>
      <c r="D145" s="3"/>
    </row>
    <row r="146" spans="3:4" x14ac:dyDescent="0.35">
      <c r="C146" s="3"/>
      <c r="D146" s="3"/>
    </row>
    <row r="147" spans="3:4" x14ac:dyDescent="0.35">
      <c r="C147" s="3"/>
      <c r="D147" s="3"/>
    </row>
    <row r="148" spans="3:4" x14ac:dyDescent="0.35">
      <c r="C148" s="3"/>
      <c r="D148" s="3"/>
    </row>
    <row r="149" spans="3:4" x14ac:dyDescent="0.35">
      <c r="C149" s="3"/>
      <c r="D149" s="3"/>
    </row>
    <row r="150" spans="3:4" x14ac:dyDescent="0.35">
      <c r="C150" s="3"/>
      <c r="D150" s="3"/>
    </row>
    <row r="151" spans="3:4" x14ac:dyDescent="0.35">
      <c r="C151" s="3"/>
      <c r="D151" s="3"/>
    </row>
    <row r="152" spans="3:4" x14ac:dyDescent="0.35">
      <c r="C152" s="3"/>
      <c r="D152" s="3"/>
    </row>
    <row r="153" spans="3:4" x14ac:dyDescent="0.35">
      <c r="C153" s="3"/>
      <c r="D153" s="3"/>
    </row>
    <row r="154" spans="3:4" x14ac:dyDescent="0.35">
      <c r="C154" s="3"/>
      <c r="D154" s="3"/>
    </row>
    <row r="155" spans="3:4" x14ac:dyDescent="0.35">
      <c r="C155" s="3"/>
      <c r="D155" s="3"/>
    </row>
    <row r="156" spans="3:4" x14ac:dyDescent="0.35">
      <c r="C156" s="3"/>
      <c r="D156" s="3"/>
    </row>
    <row r="157" spans="3:4" x14ac:dyDescent="0.35">
      <c r="C157" s="3"/>
      <c r="D157" s="3"/>
    </row>
    <row r="158" spans="3:4" x14ac:dyDescent="0.35">
      <c r="C158" s="3"/>
      <c r="D158" s="3"/>
    </row>
    <row r="159" spans="3:4" x14ac:dyDescent="0.35">
      <c r="C159" s="3"/>
      <c r="D159" s="3"/>
    </row>
    <row r="160" spans="3:4" x14ac:dyDescent="0.35">
      <c r="C160" s="3"/>
      <c r="D160" s="3"/>
    </row>
    <row r="161" spans="3:4" x14ac:dyDescent="0.35">
      <c r="C161" s="3"/>
      <c r="D161" s="3"/>
    </row>
    <row r="162" spans="3:4" x14ac:dyDescent="0.35">
      <c r="C162" s="3"/>
      <c r="D162" s="3"/>
    </row>
    <row r="163" spans="3:4" x14ac:dyDescent="0.35">
      <c r="C163" s="3"/>
      <c r="D163" s="3"/>
    </row>
    <row r="164" spans="3:4" x14ac:dyDescent="0.35">
      <c r="C164" s="3"/>
      <c r="D164" s="3"/>
    </row>
    <row r="165" spans="3:4" x14ac:dyDescent="0.35">
      <c r="C165" s="3"/>
      <c r="D165" s="3"/>
    </row>
    <row r="166" spans="3:4" x14ac:dyDescent="0.35">
      <c r="C166" s="3"/>
      <c r="D166" s="3"/>
    </row>
    <row r="167" spans="3:4" x14ac:dyDescent="0.35">
      <c r="C167" s="3"/>
      <c r="D167" s="3"/>
    </row>
    <row r="168" spans="3:4" x14ac:dyDescent="0.35">
      <c r="C168" s="3"/>
      <c r="D168" s="3"/>
    </row>
    <row r="169" spans="3:4" x14ac:dyDescent="0.35">
      <c r="C169" s="3"/>
      <c r="D169" s="3"/>
    </row>
    <row r="170" spans="3:4" x14ac:dyDescent="0.35">
      <c r="C170" s="3"/>
      <c r="D170" s="3"/>
    </row>
    <row r="171" spans="3:4" x14ac:dyDescent="0.35">
      <c r="C171" s="3"/>
      <c r="D171" s="3"/>
    </row>
    <row r="172" spans="3:4" x14ac:dyDescent="0.35">
      <c r="C172" s="3"/>
      <c r="D172" s="3"/>
    </row>
    <row r="173" spans="3:4" x14ac:dyDescent="0.35">
      <c r="C173" s="3"/>
      <c r="D173" s="3"/>
    </row>
    <row r="174" spans="3:4" x14ac:dyDescent="0.35">
      <c r="C174" s="3"/>
      <c r="D174" s="3"/>
    </row>
    <row r="175" spans="3:4" x14ac:dyDescent="0.35">
      <c r="C175" s="3"/>
      <c r="D175" s="3"/>
    </row>
    <row r="176" spans="3:4" x14ac:dyDescent="0.35">
      <c r="C176" s="3"/>
      <c r="D176" s="3"/>
    </row>
    <row r="177" spans="3:4" x14ac:dyDescent="0.35">
      <c r="C177" s="3"/>
      <c r="D177" s="3"/>
    </row>
    <row r="178" spans="3:4" x14ac:dyDescent="0.35">
      <c r="C178" s="3"/>
      <c r="D178" s="3"/>
    </row>
    <row r="179" spans="3:4" x14ac:dyDescent="0.35">
      <c r="C179" s="3"/>
      <c r="D179" s="3"/>
    </row>
    <row r="180" spans="3:4" x14ac:dyDescent="0.35">
      <c r="C180" s="3"/>
      <c r="D180" s="3"/>
    </row>
    <row r="181" spans="3:4" x14ac:dyDescent="0.35">
      <c r="C181" s="3"/>
      <c r="D181" s="3"/>
    </row>
    <row r="182" spans="3:4" x14ac:dyDescent="0.35">
      <c r="C182" s="3"/>
      <c r="D182" s="3"/>
    </row>
    <row r="183" spans="3:4" x14ac:dyDescent="0.35">
      <c r="C183" s="3"/>
      <c r="D183" s="3"/>
    </row>
    <row r="184" spans="3:4" x14ac:dyDescent="0.35">
      <c r="C184" s="3"/>
      <c r="D184" s="3"/>
    </row>
    <row r="185" spans="3:4" x14ac:dyDescent="0.35">
      <c r="C185" s="3"/>
      <c r="D185" s="3"/>
    </row>
    <row r="186" spans="3:4" x14ac:dyDescent="0.35">
      <c r="C186" s="3"/>
      <c r="D186" s="3"/>
    </row>
    <row r="187" spans="3:4" x14ac:dyDescent="0.35">
      <c r="C187" s="3"/>
      <c r="D187" s="3"/>
    </row>
    <row r="188" spans="3:4" x14ac:dyDescent="0.35">
      <c r="C188" s="3"/>
      <c r="D188" s="3"/>
    </row>
    <row r="189" spans="3:4" x14ac:dyDescent="0.35">
      <c r="C189" s="3"/>
      <c r="D189" s="3"/>
    </row>
    <row r="190" spans="3:4" x14ac:dyDescent="0.35">
      <c r="C190" s="3"/>
      <c r="D190" s="3"/>
    </row>
    <row r="191" spans="3:4" x14ac:dyDescent="0.35">
      <c r="C191" s="3"/>
      <c r="D191" s="3"/>
    </row>
    <row r="192" spans="3:4" x14ac:dyDescent="0.35">
      <c r="C192" s="3"/>
      <c r="D192" s="3"/>
    </row>
    <row r="193" spans="3:4" x14ac:dyDescent="0.35">
      <c r="C193" s="3"/>
      <c r="D193" s="3"/>
    </row>
    <row r="194" spans="3:4" x14ac:dyDescent="0.35">
      <c r="C194" s="3"/>
      <c r="D194" s="3"/>
    </row>
    <row r="195" spans="3:4" x14ac:dyDescent="0.35">
      <c r="C195" s="3"/>
      <c r="D195" s="3"/>
    </row>
    <row r="196" spans="3:4" x14ac:dyDescent="0.35">
      <c r="C196" s="3"/>
      <c r="D196" s="3"/>
    </row>
    <row r="197" spans="3:4" x14ac:dyDescent="0.35">
      <c r="C197" s="3"/>
      <c r="D197" s="3"/>
    </row>
    <row r="198" spans="3:4" x14ac:dyDescent="0.35">
      <c r="C198" s="3"/>
      <c r="D198" s="3"/>
    </row>
    <row r="199" spans="3:4" x14ac:dyDescent="0.35">
      <c r="C199" s="3"/>
      <c r="D199" s="3"/>
    </row>
    <row r="200" spans="3:4" x14ac:dyDescent="0.35">
      <c r="C200" s="3"/>
      <c r="D200" s="3"/>
    </row>
    <row r="201" spans="3:4" x14ac:dyDescent="0.35">
      <c r="C201" s="3"/>
      <c r="D201" s="3"/>
    </row>
    <row r="202" spans="3:4" x14ac:dyDescent="0.35">
      <c r="C202" s="3"/>
      <c r="D202" s="3"/>
    </row>
    <row r="203" spans="3:4" x14ac:dyDescent="0.35">
      <c r="C203" s="3"/>
      <c r="D203" s="3"/>
    </row>
    <row r="204" spans="3:4" x14ac:dyDescent="0.35">
      <c r="C204" s="3"/>
      <c r="D204" s="3"/>
    </row>
    <row r="205" spans="3:4" x14ac:dyDescent="0.35">
      <c r="C205" s="3"/>
      <c r="D205" s="3"/>
    </row>
    <row r="206" spans="3:4" x14ac:dyDescent="0.35">
      <c r="C206" s="3"/>
      <c r="D206" s="3"/>
    </row>
    <row r="207" spans="3:4" x14ac:dyDescent="0.35">
      <c r="C207" s="3"/>
      <c r="D207" s="3"/>
    </row>
    <row r="208" spans="3:4" x14ac:dyDescent="0.35">
      <c r="C208" s="3"/>
      <c r="D208" s="3"/>
    </row>
    <row r="209" spans="3:4" x14ac:dyDescent="0.35">
      <c r="C209" s="3"/>
      <c r="D209" s="3"/>
    </row>
    <row r="210" spans="3:4" x14ac:dyDescent="0.35">
      <c r="C210" s="3"/>
      <c r="D210" s="3"/>
    </row>
    <row r="211" spans="3:4" x14ac:dyDescent="0.35">
      <c r="C211" s="3"/>
      <c r="D211" s="3"/>
    </row>
    <row r="212" spans="3:4" x14ac:dyDescent="0.35">
      <c r="C212" s="3"/>
      <c r="D212" s="3"/>
    </row>
    <row r="213" spans="3:4" x14ac:dyDescent="0.35">
      <c r="C213" s="3"/>
      <c r="D213" s="3"/>
    </row>
    <row r="214" spans="3:4" x14ac:dyDescent="0.35">
      <c r="C214" s="3"/>
      <c r="D214" s="3"/>
    </row>
    <row r="215" spans="3:4" x14ac:dyDescent="0.35">
      <c r="C215" s="3"/>
      <c r="D215" s="3"/>
    </row>
    <row r="216" spans="3:4" x14ac:dyDescent="0.35">
      <c r="C216" s="3"/>
      <c r="D216" s="3"/>
    </row>
    <row r="217" spans="3:4" x14ac:dyDescent="0.35">
      <c r="C217" s="3"/>
      <c r="D217" s="3"/>
    </row>
    <row r="218" spans="3:4" x14ac:dyDescent="0.35">
      <c r="C218" s="3"/>
      <c r="D218" s="3"/>
    </row>
    <row r="219" spans="3:4" x14ac:dyDescent="0.35">
      <c r="C219" s="3"/>
      <c r="D219" s="3"/>
    </row>
    <row r="220" spans="3:4" x14ac:dyDescent="0.35">
      <c r="C220" s="3"/>
      <c r="D220" s="3"/>
    </row>
    <row r="221" spans="3:4" x14ac:dyDescent="0.35">
      <c r="C221" s="3"/>
      <c r="D221" s="3"/>
    </row>
    <row r="222" spans="3:4" x14ac:dyDescent="0.35">
      <c r="C222" s="3"/>
      <c r="D222" s="3"/>
    </row>
    <row r="223" spans="3:4" x14ac:dyDescent="0.35">
      <c r="C223" s="3"/>
      <c r="D223" s="3"/>
    </row>
    <row r="224" spans="3:4" x14ac:dyDescent="0.35">
      <c r="C224" s="3"/>
      <c r="D224" s="3"/>
    </row>
    <row r="225" spans="3:4" x14ac:dyDescent="0.35">
      <c r="C225" s="3"/>
      <c r="D225" s="3"/>
    </row>
    <row r="226" spans="3:4" x14ac:dyDescent="0.35">
      <c r="C226" s="3"/>
      <c r="D226" s="3"/>
    </row>
    <row r="227" spans="3:4" x14ac:dyDescent="0.35">
      <c r="C227" s="3"/>
      <c r="D227" s="3"/>
    </row>
    <row r="228" spans="3:4" x14ac:dyDescent="0.35">
      <c r="C228" s="3"/>
      <c r="D228" s="3"/>
    </row>
    <row r="229" spans="3:4" x14ac:dyDescent="0.35">
      <c r="C229" s="3"/>
      <c r="D229" s="3"/>
    </row>
    <row r="230" spans="3:4" x14ac:dyDescent="0.35">
      <c r="C230" s="3"/>
      <c r="D230" s="3"/>
    </row>
    <row r="231" spans="3:4" x14ac:dyDescent="0.35">
      <c r="C231" s="3"/>
      <c r="D231" s="3"/>
    </row>
    <row r="232" spans="3:4" x14ac:dyDescent="0.35">
      <c r="C232" s="3"/>
      <c r="D232" s="3"/>
    </row>
    <row r="233" spans="3:4" x14ac:dyDescent="0.35">
      <c r="C233" s="3"/>
      <c r="D233" s="3"/>
    </row>
    <row r="234" spans="3:4" x14ac:dyDescent="0.35">
      <c r="C234" s="3"/>
      <c r="D234" s="3"/>
    </row>
    <row r="235" spans="3:4" x14ac:dyDescent="0.35">
      <c r="C235" s="3"/>
      <c r="D235" s="3"/>
    </row>
    <row r="236" spans="3:4" x14ac:dyDescent="0.35">
      <c r="C236" s="3"/>
      <c r="D236" s="3"/>
    </row>
    <row r="237" spans="3:4" x14ac:dyDescent="0.35">
      <c r="C237" s="3"/>
      <c r="D237" s="3"/>
    </row>
    <row r="238" spans="3:4" x14ac:dyDescent="0.35">
      <c r="C238" s="3"/>
      <c r="D238" s="3"/>
    </row>
    <row r="239" spans="3:4" x14ac:dyDescent="0.35">
      <c r="C239" s="3"/>
      <c r="D239" s="3"/>
    </row>
    <row r="240" spans="3:4" x14ac:dyDescent="0.35">
      <c r="C240" s="3"/>
      <c r="D240" s="3"/>
    </row>
    <row r="241" spans="3:4" x14ac:dyDescent="0.35">
      <c r="C241" s="3"/>
      <c r="D241" s="3"/>
    </row>
    <row r="242" spans="3:4" x14ac:dyDescent="0.35">
      <c r="C242" s="3"/>
      <c r="D242" s="3"/>
    </row>
    <row r="243" spans="3:4" x14ac:dyDescent="0.35">
      <c r="C243" s="3"/>
      <c r="D243" s="3"/>
    </row>
    <row r="244" spans="3:4" x14ac:dyDescent="0.35">
      <c r="C244" s="3"/>
      <c r="D244" s="3"/>
    </row>
    <row r="245" spans="3:4" x14ac:dyDescent="0.35">
      <c r="C245" s="3"/>
      <c r="D245" s="3"/>
    </row>
    <row r="246" spans="3:4" x14ac:dyDescent="0.35">
      <c r="C246" s="3"/>
      <c r="D246" s="3"/>
    </row>
    <row r="247" spans="3:4" x14ac:dyDescent="0.35">
      <c r="C247" s="3"/>
      <c r="D247" s="3"/>
    </row>
    <row r="248" spans="3:4" x14ac:dyDescent="0.35">
      <c r="C248" s="3"/>
      <c r="D248" s="3"/>
    </row>
    <row r="249" spans="3:4" x14ac:dyDescent="0.35">
      <c r="C249" s="3"/>
      <c r="D249" s="3"/>
    </row>
    <row r="250" spans="3:4" x14ac:dyDescent="0.35">
      <c r="C250" s="3"/>
      <c r="D250" s="3"/>
    </row>
    <row r="251" spans="3:4" x14ac:dyDescent="0.35">
      <c r="C251" s="3"/>
      <c r="D251" s="3"/>
    </row>
    <row r="252" spans="3:4" x14ac:dyDescent="0.35">
      <c r="C252" s="3"/>
      <c r="D252" s="3"/>
    </row>
    <row r="253" spans="3:4" x14ac:dyDescent="0.35">
      <c r="C253" s="3"/>
      <c r="D253" s="3"/>
    </row>
    <row r="254" spans="3:4" x14ac:dyDescent="0.35">
      <c r="C254" s="3"/>
      <c r="D254" s="3"/>
    </row>
    <row r="255" spans="3:4" x14ac:dyDescent="0.35">
      <c r="C255" s="3"/>
      <c r="D255" s="3"/>
    </row>
    <row r="256" spans="3:4" x14ac:dyDescent="0.35">
      <c r="C256" s="3"/>
      <c r="D256" s="3"/>
    </row>
    <row r="257" spans="3:4" x14ac:dyDescent="0.35">
      <c r="C257" s="3"/>
      <c r="D257" s="3"/>
    </row>
    <row r="258" spans="3:4" x14ac:dyDescent="0.35">
      <c r="C258" s="3"/>
      <c r="D258" s="3"/>
    </row>
    <row r="259" spans="3:4" x14ac:dyDescent="0.35">
      <c r="C259" s="3"/>
      <c r="D259" s="3"/>
    </row>
    <row r="260" spans="3:4" x14ac:dyDescent="0.35">
      <c r="C260" s="3"/>
      <c r="D260" s="3"/>
    </row>
    <row r="261" spans="3:4" x14ac:dyDescent="0.35">
      <c r="C261" s="3"/>
      <c r="D261" s="3"/>
    </row>
    <row r="262" spans="3:4" x14ac:dyDescent="0.35">
      <c r="C262" s="3"/>
      <c r="D262" s="3"/>
    </row>
    <row r="263" spans="3:4" x14ac:dyDescent="0.35">
      <c r="C263" s="3"/>
      <c r="D263" s="3"/>
    </row>
    <row r="264" spans="3:4" x14ac:dyDescent="0.35">
      <c r="C264" s="3"/>
      <c r="D264" s="3"/>
    </row>
    <row r="265" spans="3:4" x14ac:dyDescent="0.35">
      <c r="C265" s="3"/>
      <c r="D265" s="3"/>
    </row>
    <row r="266" spans="3:4" x14ac:dyDescent="0.35">
      <c r="C266" s="3"/>
      <c r="D266" s="3"/>
    </row>
    <row r="267" spans="3:4" x14ac:dyDescent="0.35">
      <c r="C267" s="3"/>
      <c r="D267" s="3"/>
    </row>
    <row r="268" spans="3:4" x14ac:dyDescent="0.35">
      <c r="C268" s="3"/>
      <c r="D268" s="3"/>
    </row>
    <row r="269" spans="3:4" x14ac:dyDescent="0.35">
      <c r="C269" s="3"/>
      <c r="D269" s="3"/>
    </row>
    <row r="270" spans="3:4" x14ac:dyDescent="0.35">
      <c r="C270" s="3"/>
      <c r="D270" s="3"/>
    </row>
    <row r="271" spans="3:4" x14ac:dyDescent="0.35">
      <c r="C271" s="3"/>
      <c r="D271" s="3"/>
    </row>
    <row r="272" spans="3:4" x14ac:dyDescent="0.35">
      <c r="C272" s="3"/>
      <c r="D272" s="3"/>
    </row>
    <row r="273" spans="3:4" x14ac:dyDescent="0.35">
      <c r="C273" s="3"/>
      <c r="D273" s="3"/>
    </row>
    <row r="274" spans="3:4" x14ac:dyDescent="0.35">
      <c r="C274" s="3"/>
      <c r="D274" s="3"/>
    </row>
    <row r="275" spans="3:4" x14ac:dyDescent="0.35">
      <c r="C275" s="3"/>
      <c r="D275" s="3"/>
    </row>
    <row r="276" spans="3:4" x14ac:dyDescent="0.35">
      <c r="C276" s="3"/>
      <c r="D276" s="3"/>
    </row>
    <row r="277" spans="3:4" x14ac:dyDescent="0.35">
      <c r="C277" s="3"/>
      <c r="D277" s="3"/>
    </row>
    <row r="278" spans="3:4" x14ac:dyDescent="0.35">
      <c r="C278" s="3"/>
      <c r="D278" s="3"/>
    </row>
    <row r="279" spans="3:4" x14ac:dyDescent="0.35">
      <c r="C279" s="3"/>
      <c r="D279" s="3"/>
    </row>
    <row r="280" spans="3:4" x14ac:dyDescent="0.35">
      <c r="C280" s="3"/>
      <c r="D280" s="3"/>
    </row>
    <row r="281" spans="3:4" x14ac:dyDescent="0.35">
      <c r="C281" s="3"/>
      <c r="D281" s="3"/>
    </row>
    <row r="282" spans="3:4" x14ac:dyDescent="0.35">
      <c r="C282" s="3"/>
      <c r="D282" s="3"/>
    </row>
    <row r="283" spans="3:4" x14ac:dyDescent="0.35">
      <c r="C283" s="3"/>
      <c r="D283" s="3"/>
    </row>
    <row r="284" spans="3:4" x14ac:dyDescent="0.35">
      <c r="C284" s="3"/>
      <c r="D284" s="3"/>
    </row>
    <row r="285" spans="3:4" x14ac:dyDescent="0.35">
      <c r="C285" s="3"/>
      <c r="D285" s="3"/>
    </row>
    <row r="286" spans="3:4" x14ac:dyDescent="0.35">
      <c r="C286" s="3"/>
      <c r="D286" s="3"/>
    </row>
    <row r="287" spans="3:4" x14ac:dyDescent="0.35">
      <c r="C287" s="3"/>
      <c r="D287" s="3"/>
    </row>
    <row r="288" spans="3:4" x14ac:dyDescent="0.35">
      <c r="C288" s="3"/>
      <c r="D288" s="3"/>
    </row>
    <row r="289" spans="3:4" x14ac:dyDescent="0.35">
      <c r="C289" s="3"/>
      <c r="D289" s="3"/>
    </row>
    <row r="290" spans="3:4" x14ac:dyDescent="0.35">
      <c r="C290" s="3"/>
      <c r="D290" s="3"/>
    </row>
    <row r="291" spans="3:4" x14ac:dyDescent="0.35">
      <c r="C291" s="3"/>
      <c r="D291" s="3"/>
    </row>
    <row r="292" spans="3:4" x14ac:dyDescent="0.35">
      <c r="C292" s="3"/>
      <c r="D292" s="3"/>
    </row>
    <row r="293" spans="3:4" x14ac:dyDescent="0.35">
      <c r="C293" s="3"/>
      <c r="D293" s="3"/>
    </row>
    <row r="294" spans="3:4" x14ac:dyDescent="0.35">
      <c r="C294" s="3"/>
      <c r="D294" s="3"/>
    </row>
    <row r="295" spans="3:4" x14ac:dyDescent="0.35">
      <c r="C295" s="3"/>
      <c r="D295" s="3"/>
    </row>
    <row r="296" spans="3:4" x14ac:dyDescent="0.35">
      <c r="C296" s="3"/>
      <c r="D296" s="3"/>
    </row>
    <row r="297" spans="3:4" x14ac:dyDescent="0.35">
      <c r="C297" s="3"/>
      <c r="D297" s="3"/>
    </row>
    <row r="298" spans="3:4" x14ac:dyDescent="0.35">
      <c r="C298" s="3"/>
      <c r="D298" s="3"/>
    </row>
    <row r="299" spans="3:4" x14ac:dyDescent="0.35">
      <c r="C299" s="3"/>
      <c r="D299" s="3"/>
    </row>
    <row r="300" spans="3:4" x14ac:dyDescent="0.35">
      <c r="C300" s="3"/>
      <c r="D300" s="3"/>
    </row>
    <row r="301" spans="3:4" x14ac:dyDescent="0.35">
      <c r="C301" s="3"/>
      <c r="D301" s="3"/>
    </row>
    <row r="302" spans="3:4" x14ac:dyDescent="0.35">
      <c r="C302" s="3"/>
      <c r="D302" s="3"/>
    </row>
    <row r="303" spans="3:4" x14ac:dyDescent="0.35">
      <c r="C303" s="3"/>
      <c r="D303" s="3"/>
    </row>
    <row r="304" spans="3:4" x14ac:dyDescent="0.35">
      <c r="C304" s="3"/>
      <c r="D304" s="3"/>
    </row>
    <row r="305" spans="3:4" x14ac:dyDescent="0.35">
      <c r="C305" s="3"/>
      <c r="D305" s="3"/>
    </row>
    <row r="306" spans="3:4" x14ac:dyDescent="0.35">
      <c r="C306" s="3"/>
      <c r="D306" s="3"/>
    </row>
    <row r="307" spans="3:4" x14ac:dyDescent="0.35">
      <c r="C307" s="3"/>
      <c r="D307" s="3"/>
    </row>
    <row r="308" spans="3:4" x14ac:dyDescent="0.35">
      <c r="C308" s="3"/>
      <c r="D308" s="3"/>
    </row>
    <row r="309" spans="3:4" x14ac:dyDescent="0.35">
      <c r="C309" s="3"/>
      <c r="D309" s="3"/>
    </row>
    <row r="310" spans="3:4" x14ac:dyDescent="0.35">
      <c r="D310" s="3"/>
    </row>
    <row r="311" spans="3:4" x14ac:dyDescent="0.35">
      <c r="D311" s="3"/>
    </row>
    <row r="312" spans="3:4" x14ac:dyDescent="0.35">
      <c r="D312" s="3"/>
    </row>
    <row r="313" spans="3:4" x14ac:dyDescent="0.35">
      <c r="D313" s="3"/>
    </row>
    <row r="314" spans="3:4" x14ac:dyDescent="0.35">
      <c r="D314" s="3"/>
    </row>
    <row r="315" spans="3:4" x14ac:dyDescent="0.35">
      <c r="D315" s="3"/>
    </row>
    <row r="316" spans="3:4" x14ac:dyDescent="0.35">
      <c r="D316" s="3"/>
    </row>
    <row r="317" spans="3:4" x14ac:dyDescent="0.35">
      <c r="D317" s="3"/>
    </row>
    <row r="318" spans="3:4" x14ac:dyDescent="0.35">
      <c r="D318" s="3"/>
    </row>
    <row r="319" spans="3:4" x14ac:dyDescent="0.35">
      <c r="D319" s="3"/>
    </row>
    <row r="320" spans="3:4" x14ac:dyDescent="0.35">
      <c r="D320" s="3"/>
    </row>
    <row r="321" spans="4:4" x14ac:dyDescent="0.35">
      <c r="D321" s="3"/>
    </row>
    <row r="322" spans="4:4" x14ac:dyDescent="0.35">
      <c r="D322" s="3"/>
    </row>
    <row r="323" spans="4:4" x14ac:dyDescent="0.35">
      <c r="D323" s="3"/>
    </row>
    <row r="324" spans="4:4" x14ac:dyDescent="0.35">
      <c r="D324" s="3"/>
    </row>
    <row r="325" spans="4:4" x14ac:dyDescent="0.35">
      <c r="D325" s="3"/>
    </row>
    <row r="326" spans="4:4" x14ac:dyDescent="0.35">
      <c r="D326" s="3"/>
    </row>
    <row r="327" spans="4:4" x14ac:dyDescent="0.35">
      <c r="D327" s="3"/>
    </row>
    <row r="328" spans="4:4" x14ac:dyDescent="0.35">
      <c r="D328" s="3"/>
    </row>
    <row r="329" spans="4:4" x14ac:dyDescent="0.35">
      <c r="D329" s="3"/>
    </row>
    <row r="330" spans="4:4" x14ac:dyDescent="0.35">
      <c r="D330" s="3"/>
    </row>
    <row r="331" spans="4:4" x14ac:dyDescent="0.35">
      <c r="D331" s="3"/>
    </row>
    <row r="332" spans="4:4" x14ac:dyDescent="0.35">
      <c r="D332" s="3"/>
    </row>
    <row r="333" spans="4:4" x14ac:dyDescent="0.35">
      <c r="D333" s="3"/>
    </row>
    <row r="334" spans="4:4" x14ac:dyDescent="0.35">
      <c r="D334" s="3"/>
    </row>
    <row r="335" spans="4:4" x14ac:dyDescent="0.35">
      <c r="D335" s="3"/>
    </row>
    <row r="336" spans="4:4" x14ac:dyDescent="0.35">
      <c r="D336" s="3"/>
    </row>
    <row r="337" spans="4:4" x14ac:dyDescent="0.35">
      <c r="D337" s="3"/>
    </row>
    <row r="338" spans="4:4" x14ac:dyDescent="0.35">
      <c r="D338" s="3"/>
    </row>
    <row r="339" spans="4:4" x14ac:dyDescent="0.35">
      <c r="D339" s="3"/>
    </row>
    <row r="340" spans="4:4" x14ac:dyDescent="0.35">
      <c r="D340" s="3"/>
    </row>
    <row r="341" spans="4:4" x14ac:dyDescent="0.35">
      <c r="D341" s="3"/>
    </row>
    <row r="342" spans="4:4" x14ac:dyDescent="0.35">
      <c r="D342" s="3"/>
    </row>
    <row r="343" spans="4:4" x14ac:dyDescent="0.35">
      <c r="D343" s="3"/>
    </row>
    <row r="344" spans="4:4" x14ac:dyDescent="0.35">
      <c r="D344" s="3"/>
    </row>
    <row r="345" spans="4:4" x14ac:dyDescent="0.35">
      <c r="D345" s="3"/>
    </row>
    <row r="346" spans="4:4" x14ac:dyDescent="0.35">
      <c r="D346" s="3"/>
    </row>
    <row r="347" spans="4:4" x14ac:dyDescent="0.35">
      <c r="D347" s="3"/>
    </row>
    <row r="348" spans="4:4" x14ac:dyDescent="0.35">
      <c r="D348" s="3"/>
    </row>
    <row r="349" spans="4:4" x14ac:dyDescent="0.35">
      <c r="D349" s="3"/>
    </row>
    <row r="350" spans="4:4" x14ac:dyDescent="0.35">
      <c r="D350" s="3"/>
    </row>
    <row r="351" spans="4:4" x14ac:dyDescent="0.35">
      <c r="D351" s="3"/>
    </row>
    <row r="352" spans="4:4" x14ac:dyDescent="0.35">
      <c r="D352" s="3"/>
    </row>
    <row r="353" spans="4:4" x14ac:dyDescent="0.35">
      <c r="D353" s="3"/>
    </row>
    <row r="354" spans="4:4" x14ac:dyDescent="0.35">
      <c r="D354" s="3"/>
    </row>
    <row r="355" spans="4:4" x14ac:dyDescent="0.35">
      <c r="D355" s="3"/>
    </row>
    <row r="356" spans="4:4" x14ac:dyDescent="0.35">
      <c r="D356" s="3"/>
    </row>
    <row r="357" spans="4:4" x14ac:dyDescent="0.35">
      <c r="D357" s="3"/>
    </row>
    <row r="358" spans="4:4" x14ac:dyDescent="0.35">
      <c r="D358" s="3"/>
    </row>
    <row r="359" spans="4:4" x14ac:dyDescent="0.35">
      <c r="D359" s="3"/>
    </row>
    <row r="360" spans="4:4" x14ac:dyDescent="0.35">
      <c r="D360" s="3"/>
    </row>
    <row r="361" spans="4:4" x14ac:dyDescent="0.35">
      <c r="D361" s="3"/>
    </row>
    <row r="362" spans="4:4" x14ac:dyDescent="0.35">
      <c r="D362" s="3"/>
    </row>
    <row r="363" spans="4:4" x14ac:dyDescent="0.35">
      <c r="D363" s="3"/>
    </row>
    <row r="364" spans="4:4" x14ac:dyDescent="0.35">
      <c r="D364" s="3"/>
    </row>
    <row r="365" spans="4:4" x14ac:dyDescent="0.35">
      <c r="D365" s="3"/>
    </row>
    <row r="366" spans="4:4" x14ac:dyDescent="0.35">
      <c r="D366" s="3"/>
    </row>
    <row r="367" spans="4:4" x14ac:dyDescent="0.35">
      <c r="D367" s="3"/>
    </row>
    <row r="368" spans="4:4" x14ac:dyDescent="0.35">
      <c r="D368" s="3"/>
    </row>
    <row r="369" spans="4:4" x14ac:dyDescent="0.35">
      <c r="D369" s="3"/>
    </row>
    <row r="370" spans="4:4" x14ac:dyDescent="0.35">
      <c r="D370" s="3"/>
    </row>
    <row r="371" spans="4:4" x14ac:dyDescent="0.35">
      <c r="D371" s="3"/>
    </row>
    <row r="372" spans="4:4" x14ac:dyDescent="0.35">
      <c r="D372" s="3"/>
    </row>
    <row r="373" spans="4:4" x14ac:dyDescent="0.35">
      <c r="D373" s="3"/>
    </row>
    <row r="374" spans="4:4" x14ac:dyDescent="0.35">
      <c r="D374" s="3"/>
    </row>
    <row r="375" spans="4:4" x14ac:dyDescent="0.35">
      <c r="D375" s="3"/>
    </row>
    <row r="376" spans="4:4" x14ac:dyDescent="0.35">
      <c r="D376" s="3"/>
    </row>
    <row r="377" spans="4:4" x14ac:dyDescent="0.35">
      <c r="D377" s="3"/>
    </row>
    <row r="378" spans="4:4" x14ac:dyDescent="0.35">
      <c r="D378" s="3"/>
    </row>
    <row r="379" spans="4:4" x14ac:dyDescent="0.35">
      <c r="D379" s="3"/>
    </row>
    <row r="380" spans="4:4" x14ac:dyDescent="0.35">
      <c r="D380" s="3"/>
    </row>
    <row r="381" spans="4:4" x14ac:dyDescent="0.35">
      <c r="D381" s="3"/>
    </row>
    <row r="382" spans="4:4" x14ac:dyDescent="0.35">
      <c r="D382" s="3"/>
    </row>
    <row r="383" spans="4:4" x14ac:dyDescent="0.35">
      <c r="D383" s="3"/>
    </row>
    <row r="384" spans="4:4" x14ac:dyDescent="0.35">
      <c r="D384" s="3"/>
    </row>
    <row r="385" spans="4:4" x14ac:dyDescent="0.35">
      <c r="D385" s="3"/>
    </row>
    <row r="386" spans="4:4" x14ac:dyDescent="0.35">
      <c r="D386" s="3"/>
    </row>
    <row r="387" spans="4:4" x14ac:dyDescent="0.35">
      <c r="D387" s="3"/>
    </row>
    <row r="388" spans="4:4" x14ac:dyDescent="0.35">
      <c r="D388" s="3"/>
    </row>
    <row r="389" spans="4:4" x14ac:dyDescent="0.35">
      <c r="D389" s="3"/>
    </row>
    <row r="390" spans="4:4" x14ac:dyDescent="0.35">
      <c r="D390" s="3"/>
    </row>
    <row r="391" spans="4:4" x14ac:dyDescent="0.35">
      <c r="D391" s="3"/>
    </row>
    <row r="392" spans="4:4" x14ac:dyDescent="0.35">
      <c r="D392" s="3"/>
    </row>
    <row r="393" spans="4:4" x14ac:dyDescent="0.35">
      <c r="D393" s="3"/>
    </row>
    <row r="394" spans="4:4" x14ac:dyDescent="0.35">
      <c r="D394" s="3"/>
    </row>
    <row r="395" spans="4:4" x14ac:dyDescent="0.35">
      <c r="D395" s="3"/>
    </row>
    <row r="396" spans="4:4" x14ac:dyDescent="0.35">
      <c r="D396" s="3"/>
    </row>
  </sheetData>
  <sheetProtection sheet="1" objects="1" scenarios="1"/>
  <mergeCells count="6">
    <mergeCell ref="L1:L2"/>
    <mergeCell ref="I2:I14"/>
    <mergeCell ref="A1:A4"/>
    <mergeCell ref="B1:B4"/>
    <mergeCell ref="D1:J1"/>
    <mergeCell ref="K1:K2"/>
  </mergeCells>
  <conditionalFormatting sqref="D6 D3">
    <cfRule type="expression" dxfId="11" priority="16">
      <formula>1*$D3&gt;0</formula>
    </cfRule>
  </conditionalFormatting>
  <conditionalFormatting sqref="K3">
    <cfRule type="expression" dxfId="10" priority="15">
      <formula>$K$3=TRUE</formula>
    </cfRule>
  </conditionalFormatting>
  <conditionalFormatting sqref="D1">
    <cfRule type="expression" dxfId="9" priority="5">
      <formula>ISBLANK($D$1)</formula>
    </cfRule>
    <cfRule type="expression" dxfId="8" priority="8">
      <formula>RIGHT($D$1,1)="\"</formula>
    </cfRule>
  </conditionalFormatting>
  <conditionalFormatting sqref="D4">
    <cfRule type="expression" dxfId="7" priority="20">
      <formula>$D4&lt;&gt;0</formula>
    </cfRule>
  </conditionalFormatting>
  <conditionalFormatting sqref="K6">
    <cfRule type="expression" dxfId="6" priority="22">
      <formula>$K6=TRUE</formula>
    </cfRule>
  </conditionalFormatting>
  <conditionalFormatting sqref="D5">
    <cfRule type="colorScale" priority="3">
      <colorScale>
        <cfvo type="num" val="0"/>
        <cfvo type="num" val="1"/>
        <cfvo type="num" val="2"/>
        <color rgb="FFFF0000"/>
        <color theme="3" tint="0.59999389629810485"/>
        <color theme="6" tint="0.59999389629810485"/>
      </colorScale>
    </cfRule>
  </conditionalFormatting>
  <conditionalFormatting sqref="K5">
    <cfRule type="colorScale" priority="1">
      <colorScale>
        <cfvo type="num" val="0"/>
        <cfvo type="num" val="1"/>
        <cfvo type="num" val="2"/>
        <color rgb="FFFF7C80"/>
        <color theme="3" tint="0.79998168889431442"/>
        <color theme="6" tint="0.59999389629810485"/>
      </colorScale>
    </cfRule>
    <cfRule type="expression" dxfId="5" priority="2">
      <formula>1*$D5&gt;0</formula>
    </cfRule>
  </conditionalFormatting>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8AE836C-171A-428E-B23C-D8F693115CC1}">
          <x14:formula1>
            <xm:f>'Choises &amp; Info'!$E$1:$G$1</xm:f>
          </x14:formula1>
          <xm:sqref>D5</xm:sqref>
        </x14:dataValidation>
        <x14:dataValidation type="list" allowBlank="1" showInputMessage="1" showErrorMessage="1" xr:uid="{BED0A34F-B812-4CF5-A7A4-3764E5A1213F}">
          <x14:formula1>
            <xm:f>'Choises &amp; Info'!$E$1:$F$1</xm:f>
          </x14:formula1>
          <xm:sqref>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BFFB1-1D2D-461D-BB3B-8733A4D51A8A}">
  <sheetPr codeName="Sheet1"/>
  <dimension ref="A1:C3"/>
  <sheetViews>
    <sheetView zoomScale="90" zoomScaleNormal="90" workbookViewId="0">
      <pane ySplit="2" topLeftCell="A3" activePane="bottomLeft" state="frozen"/>
      <selection pane="bottomLeft" activeCell="B7" sqref="B7"/>
    </sheetView>
  </sheetViews>
  <sheetFormatPr defaultColWidth="9.453125" defaultRowHeight="14.5" x14ac:dyDescent="0.35"/>
  <cols>
    <col min="1" max="1" width="109" style="3" customWidth="1"/>
    <col min="2" max="2" width="145.54296875" style="2" customWidth="1"/>
    <col min="3" max="3" width="13.26953125" style="2" customWidth="1"/>
    <col min="4" max="4" width="21.1796875" style="2" customWidth="1"/>
    <col min="5" max="5" width="11.54296875" style="2" customWidth="1"/>
    <col min="6" max="16384" width="9.453125" style="2"/>
  </cols>
  <sheetData>
    <row r="1" spans="1:3" ht="42" customHeight="1" x14ac:dyDescent="0.35">
      <c r="A1" s="19" t="str" cm="1">
        <f t="array" ref="A1:B1">_xlfn.TEXTSPLIT( _xlfn.TEXTJOIN(";",TRUE, "Old_FileName","New_FileName"), ";")</f>
        <v>Old_FileName</v>
      </c>
      <c r="B1" s="19" t="str">
        <v>New_FileName</v>
      </c>
      <c r="C1" s="19" t="str">
        <f>'List of Names'!$D$7</f>
        <v>enable /OR/ 0 - pick 1/2 rename options</v>
      </c>
    </row>
    <row r="2" spans="1:3" ht="19.5" customHeight="1" x14ac:dyDescent="0.35">
      <c r="A2" s="55" t="str" cm="1">
        <f t="array" ref="A2">IF( AND( 'List of Names'!$D$7&gt;=1, 'List of Names'!$D$5&gt;=1),
     _xlfn.LET( _xlpm.list_01,_xlfn.ANCHORARRAY( Rename_by_hand!$A$3), _xlpm.list_02,_xlfn.ANCHORARRAY( Rename_by_hand!$E$3),
          _xlfn.HSTACK( _xlfn.CHOOSECOLS( _xlpm.list_01,1) &amp; _xlfn.CHOOSECOLS( _xlpm.list_01,2), _xlfn.CHOOSECOLS( _xlpm.list_01,1) &amp; _xlpm.list_02) ),"-")</f>
        <v>-</v>
      </c>
    </row>
    <row r="3" spans="1:3" x14ac:dyDescent="0.35">
      <c r="A3" s="36"/>
    </row>
  </sheetData>
  <sheetProtection sheet="1" objects="1" scenarios="1"/>
  <conditionalFormatting sqref="B1:C1">
    <cfRule type="expression" dxfId="4" priority="1">
      <formula>ISBLANK($B$1)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nameFilesWithUnicode">
                <anchor moveWithCells="1" sizeWithCells="1">
                  <from>
                    <xdr:col>0</xdr:col>
                    <xdr:colOff>5461000</xdr:colOff>
                    <xdr:row>0</xdr:row>
                    <xdr:rowOff>38100</xdr:rowOff>
                  </from>
                  <to>
                    <xdr:col>1</xdr:col>
                    <xdr:colOff>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6004-079B-4850-A0F3-0245EF2BB6E9}">
  <sheetPr codeName="Sheet6"/>
  <dimension ref="A1:E321"/>
  <sheetViews>
    <sheetView topLeftCell="B1" workbookViewId="0">
      <selection activeCell="D4" sqref="D4"/>
    </sheetView>
  </sheetViews>
  <sheetFormatPr defaultColWidth="9.1796875" defaultRowHeight="14.5" x14ac:dyDescent="0.35"/>
  <cols>
    <col min="1" max="1" width="85.54296875" style="79" customWidth="1"/>
    <col min="2" max="2" width="50.54296875" style="79" customWidth="1"/>
    <col min="3" max="3" width="60.54296875" style="79" customWidth="1"/>
    <col min="4" max="5" width="65.54296875" style="77" customWidth="1"/>
    <col min="6" max="16384" width="9.1796875" style="77"/>
  </cols>
  <sheetData>
    <row r="1" spans="1:5" ht="57.75" customHeight="1" x14ac:dyDescent="0.35">
      <c r="A1" s="119" t="s">
        <v>172</v>
      </c>
      <c r="B1" s="119"/>
      <c r="C1" s="119"/>
      <c r="D1" s="119"/>
      <c r="E1" s="119"/>
    </row>
    <row r="2" spans="1:5" ht="34.5" customHeight="1" x14ac:dyDescent="0.35">
      <c r="A2" s="80" t="s">
        <v>161</v>
      </c>
      <c r="B2" s="80" t="s">
        <v>169</v>
      </c>
      <c r="C2" s="80" t="s">
        <v>170</v>
      </c>
      <c r="D2" s="81" t="s">
        <v>173</v>
      </c>
      <c r="E2" s="82" t="s">
        <v>171</v>
      </c>
    </row>
    <row r="3" spans="1:5" x14ac:dyDescent="0.35">
      <c r="A3" s="78" t="e" cm="1">
        <f t="array" ref="A3">IF('List of Names'!$D$7&gt;=1, _xlfn.CHOOSECOLS( _xlfn._xlws.FILTER( _xlfn.HSTACK(_xlfn.ANCHORARRAY('List of Names'!$F$9),_xlfn.ANCHORARRAY( 'List of Names'!$C$9),_xlfn.ANCHORARRAY('List of Names'!$D$9)),_xlfn.ANCHORARRAY( 'List of Names'!E9)=0, "-"), 3,4,5), "-")</f>
        <v>#VALUE!</v>
      </c>
      <c r="B3" s="78"/>
      <c r="D3" s="107"/>
      <c r="E3" s="77" t="e" cm="1">
        <f t="array" ref="E3">IF(LEN($A$3)&gt;1, _xlfn.LET(_xlpm.lst_Hnd, _xlfn.MAKEARRAY( ROWS(_xlfn.ANCHORARRAY($A$3)), 1, _xlfn.LAMBDA(_xlpm.r,_xlpm.c, INDEX($A$3:$D$100000, _xlpm.r, 4) ) ), _xlpm.lst_auto, _xlfn.CHOOSECOLS(_xlfn.ANCHORARRAY( $A$3),3),
     IF(LEN(_xlpm.lst_Hnd)&gt;2,_xlpm.lst_Hnd,_xlpm.lst_auto) ),"-")</f>
        <v>#VALUE!</v>
      </c>
    </row>
    <row r="4" spans="1:5" x14ac:dyDescent="0.35">
      <c r="D4" s="107"/>
    </row>
    <row r="5" spans="1:5" x14ac:dyDescent="0.35">
      <c r="D5" s="107"/>
    </row>
    <row r="6" spans="1:5" x14ac:dyDescent="0.35">
      <c r="D6" s="107"/>
    </row>
    <row r="7" spans="1:5" x14ac:dyDescent="0.35">
      <c r="D7" s="107"/>
    </row>
    <row r="8" spans="1:5" x14ac:dyDescent="0.35">
      <c r="D8" s="107"/>
    </row>
    <row r="9" spans="1:5" x14ac:dyDescent="0.35">
      <c r="D9" s="107"/>
    </row>
    <row r="10" spans="1:5" x14ac:dyDescent="0.35">
      <c r="D10" s="107"/>
    </row>
    <row r="11" spans="1:5" x14ac:dyDescent="0.35">
      <c r="D11" s="107"/>
    </row>
    <row r="12" spans="1:5" x14ac:dyDescent="0.35">
      <c r="D12" s="107"/>
    </row>
    <row r="13" spans="1:5" x14ac:dyDescent="0.35">
      <c r="D13" s="107"/>
    </row>
    <row r="14" spans="1:5" x14ac:dyDescent="0.35">
      <c r="D14" s="107"/>
    </row>
    <row r="15" spans="1:5" x14ac:dyDescent="0.35">
      <c r="D15" s="107"/>
    </row>
    <row r="16" spans="1:5" x14ac:dyDescent="0.35">
      <c r="D16" s="107"/>
    </row>
    <row r="17" spans="4:4" x14ac:dyDescent="0.35">
      <c r="D17" s="107"/>
    </row>
    <row r="18" spans="4:4" x14ac:dyDescent="0.35">
      <c r="D18" s="107"/>
    </row>
    <row r="19" spans="4:4" x14ac:dyDescent="0.35">
      <c r="D19" s="107"/>
    </row>
    <row r="20" spans="4:4" x14ac:dyDescent="0.35">
      <c r="D20" s="107"/>
    </row>
    <row r="21" spans="4:4" x14ac:dyDescent="0.35">
      <c r="D21" s="107"/>
    </row>
    <row r="22" spans="4:4" x14ac:dyDescent="0.35">
      <c r="D22" s="107"/>
    </row>
    <row r="23" spans="4:4" x14ac:dyDescent="0.35">
      <c r="D23" s="107"/>
    </row>
    <row r="24" spans="4:4" x14ac:dyDescent="0.35">
      <c r="D24" s="107"/>
    </row>
    <row r="25" spans="4:4" x14ac:dyDescent="0.35">
      <c r="D25" s="107"/>
    </row>
    <row r="26" spans="4:4" x14ac:dyDescent="0.35">
      <c r="D26" s="107"/>
    </row>
    <row r="27" spans="4:4" x14ac:dyDescent="0.35">
      <c r="D27" s="107"/>
    </row>
    <row r="28" spans="4:4" x14ac:dyDescent="0.35">
      <c r="D28" s="107"/>
    </row>
    <row r="29" spans="4:4" x14ac:dyDescent="0.35">
      <c r="D29" s="107"/>
    </row>
    <row r="30" spans="4:4" x14ac:dyDescent="0.35">
      <c r="D30" s="107"/>
    </row>
    <row r="31" spans="4:4" x14ac:dyDescent="0.35">
      <c r="D31" s="107"/>
    </row>
    <row r="32" spans="4:4" x14ac:dyDescent="0.35">
      <c r="D32" s="107"/>
    </row>
    <row r="33" spans="4:4" x14ac:dyDescent="0.35">
      <c r="D33" s="107"/>
    </row>
    <row r="34" spans="4:4" x14ac:dyDescent="0.35">
      <c r="D34" s="107"/>
    </row>
    <row r="35" spans="4:4" x14ac:dyDescent="0.35">
      <c r="D35" s="107"/>
    </row>
    <row r="36" spans="4:4" x14ac:dyDescent="0.35">
      <c r="D36" s="107"/>
    </row>
    <row r="37" spans="4:4" x14ac:dyDescent="0.35">
      <c r="D37" s="107"/>
    </row>
    <row r="38" spans="4:4" x14ac:dyDescent="0.35">
      <c r="D38" s="107"/>
    </row>
    <row r="39" spans="4:4" x14ac:dyDescent="0.35">
      <c r="D39" s="107"/>
    </row>
    <row r="40" spans="4:4" x14ac:dyDescent="0.35">
      <c r="D40" s="107"/>
    </row>
    <row r="41" spans="4:4" x14ac:dyDescent="0.35">
      <c r="D41" s="107"/>
    </row>
    <row r="42" spans="4:4" x14ac:dyDescent="0.35">
      <c r="D42" s="107"/>
    </row>
    <row r="43" spans="4:4" x14ac:dyDescent="0.35">
      <c r="D43" s="107"/>
    </row>
    <row r="44" spans="4:4" x14ac:dyDescent="0.35">
      <c r="D44" s="107"/>
    </row>
    <row r="45" spans="4:4" x14ac:dyDescent="0.35">
      <c r="D45" s="107"/>
    </row>
    <row r="46" spans="4:4" x14ac:dyDescent="0.35">
      <c r="D46" s="107"/>
    </row>
    <row r="47" spans="4:4" x14ac:dyDescent="0.35">
      <c r="D47" s="107"/>
    </row>
    <row r="48" spans="4:4" x14ac:dyDescent="0.35">
      <c r="D48" s="107"/>
    </row>
    <row r="49" spans="4:4" x14ac:dyDescent="0.35">
      <c r="D49" s="107"/>
    </row>
    <row r="50" spans="4:4" x14ac:dyDescent="0.35">
      <c r="D50" s="107"/>
    </row>
    <row r="51" spans="4:4" x14ac:dyDescent="0.35">
      <c r="D51" s="107"/>
    </row>
    <row r="52" spans="4:4" x14ac:dyDescent="0.35">
      <c r="D52" s="107"/>
    </row>
    <row r="53" spans="4:4" x14ac:dyDescent="0.35">
      <c r="D53" s="107"/>
    </row>
    <row r="54" spans="4:4" x14ac:dyDescent="0.35">
      <c r="D54" s="107"/>
    </row>
    <row r="55" spans="4:4" x14ac:dyDescent="0.35">
      <c r="D55" s="107"/>
    </row>
    <row r="56" spans="4:4" x14ac:dyDescent="0.35">
      <c r="D56" s="107"/>
    </row>
    <row r="57" spans="4:4" x14ac:dyDescent="0.35">
      <c r="D57" s="107"/>
    </row>
    <row r="58" spans="4:4" x14ac:dyDescent="0.35">
      <c r="D58" s="107"/>
    </row>
    <row r="59" spans="4:4" x14ac:dyDescent="0.35">
      <c r="D59" s="107"/>
    </row>
    <row r="60" spans="4:4" x14ac:dyDescent="0.35">
      <c r="D60" s="107"/>
    </row>
    <row r="61" spans="4:4" x14ac:dyDescent="0.35">
      <c r="D61" s="107"/>
    </row>
    <row r="62" spans="4:4" x14ac:dyDescent="0.35">
      <c r="D62" s="107"/>
    </row>
    <row r="63" spans="4:4" x14ac:dyDescent="0.35">
      <c r="D63" s="107"/>
    </row>
    <row r="64" spans="4:4" x14ac:dyDescent="0.35">
      <c r="D64" s="107"/>
    </row>
    <row r="65" spans="4:4" x14ac:dyDescent="0.35">
      <c r="D65" s="107"/>
    </row>
    <row r="66" spans="4:4" x14ac:dyDescent="0.35">
      <c r="D66" s="107"/>
    </row>
    <row r="67" spans="4:4" x14ac:dyDescent="0.35">
      <c r="D67" s="107"/>
    </row>
    <row r="68" spans="4:4" x14ac:dyDescent="0.35">
      <c r="D68" s="107"/>
    </row>
    <row r="69" spans="4:4" x14ac:dyDescent="0.35">
      <c r="D69" s="107"/>
    </row>
    <row r="70" spans="4:4" x14ac:dyDescent="0.35">
      <c r="D70" s="107"/>
    </row>
    <row r="71" spans="4:4" x14ac:dyDescent="0.35">
      <c r="D71" s="107"/>
    </row>
    <row r="72" spans="4:4" x14ac:dyDescent="0.35">
      <c r="D72" s="107"/>
    </row>
    <row r="73" spans="4:4" x14ac:dyDescent="0.35">
      <c r="D73" s="107"/>
    </row>
    <row r="74" spans="4:4" x14ac:dyDescent="0.35">
      <c r="D74" s="107"/>
    </row>
    <row r="75" spans="4:4" x14ac:dyDescent="0.35">
      <c r="D75" s="107"/>
    </row>
    <row r="76" spans="4:4" x14ac:dyDescent="0.35">
      <c r="D76" s="107"/>
    </row>
    <row r="77" spans="4:4" x14ac:dyDescent="0.35">
      <c r="D77" s="107"/>
    </row>
    <row r="78" spans="4:4" x14ac:dyDescent="0.35">
      <c r="D78" s="107"/>
    </row>
    <row r="79" spans="4:4" x14ac:dyDescent="0.35">
      <c r="D79" s="107"/>
    </row>
    <row r="80" spans="4:4" x14ac:dyDescent="0.35">
      <c r="D80" s="107"/>
    </row>
    <row r="81" spans="4:4" x14ac:dyDescent="0.35">
      <c r="D81" s="107"/>
    </row>
    <row r="82" spans="4:4" x14ac:dyDescent="0.35">
      <c r="D82" s="107"/>
    </row>
    <row r="83" spans="4:4" x14ac:dyDescent="0.35">
      <c r="D83" s="107"/>
    </row>
    <row r="84" spans="4:4" x14ac:dyDescent="0.35">
      <c r="D84" s="107"/>
    </row>
    <row r="85" spans="4:4" x14ac:dyDescent="0.35">
      <c r="D85" s="107"/>
    </row>
    <row r="86" spans="4:4" x14ac:dyDescent="0.35">
      <c r="D86" s="107"/>
    </row>
    <row r="87" spans="4:4" x14ac:dyDescent="0.35">
      <c r="D87" s="107"/>
    </row>
    <row r="88" spans="4:4" x14ac:dyDescent="0.35">
      <c r="D88" s="107"/>
    </row>
    <row r="89" spans="4:4" x14ac:dyDescent="0.35">
      <c r="D89" s="107"/>
    </row>
    <row r="90" spans="4:4" x14ac:dyDescent="0.35">
      <c r="D90" s="107"/>
    </row>
    <row r="91" spans="4:4" x14ac:dyDescent="0.35">
      <c r="D91" s="107"/>
    </row>
    <row r="92" spans="4:4" x14ac:dyDescent="0.35">
      <c r="D92" s="107"/>
    </row>
    <row r="93" spans="4:4" x14ac:dyDescent="0.35">
      <c r="D93" s="107"/>
    </row>
    <row r="94" spans="4:4" x14ac:dyDescent="0.35">
      <c r="D94" s="107"/>
    </row>
    <row r="95" spans="4:4" x14ac:dyDescent="0.35">
      <c r="D95" s="107"/>
    </row>
    <row r="96" spans="4:4" x14ac:dyDescent="0.35">
      <c r="D96" s="107"/>
    </row>
    <row r="97" spans="4:4" x14ac:dyDescent="0.35">
      <c r="D97" s="107"/>
    </row>
    <row r="98" spans="4:4" x14ac:dyDescent="0.35">
      <c r="D98" s="107"/>
    </row>
    <row r="99" spans="4:4" x14ac:dyDescent="0.35">
      <c r="D99" s="107"/>
    </row>
    <row r="100" spans="4:4" x14ac:dyDescent="0.35">
      <c r="D100" s="107"/>
    </row>
    <row r="101" spans="4:4" x14ac:dyDescent="0.35">
      <c r="D101" s="107"/>
    </row>
    <row r="102" spans="4:4" x14ac:dyDescent="0.35">
      <c r="D102" s="107"/>
    </row>
    <row r="103" spans="4:4" x14ac:dyDescent="0.35">
      <c r="D103" s="107"/>
    </row>
    <row r="104" spans="4:4" x14ac:dyDescent="0.35">
      <c r="D104" s="107"/>
    </row>
    <row r="105" spans="4:4" x14ac:dyDescent="0.35">
      <c r="D105" s="107"/>
    </row>
    <row r="106" spans="4:4" x14ac:dyDescent="0.35">
      <c r="D106" s="107"/>
    </row>
    <row r="107" spans="4:4" x14ac:dyDescent="0.35">
      <c r="D107" s="107"/>
    </row>
    <row r="108" spans="4:4" x14ac:dyDescent="0.35">
      <c r="D108" s="107"/>
    </row>
    <row r="109" spans="4:4" x14ac:dyDescent="0.35">
      <c r="D109" s="107"/>
    </row>
    <row r="110" spans="4:4" x14ac:dyDescent="0.35">
      <c r="D110" s="107"/>
    </row>
    <row r="111" spans="4:4" x14ac:dyDescent="0.35">
      <c r="D111" s="107"/>
    </row>
    <row r="112" spans="4:4" x14ac:dyDescent="0.35">
      <c r="D112" s="107"/>
    </row>
    <row r="113" spans="4:4" x14ac:dyDescent="0.35">
      <c r="D113" s="107"/>
    </row>
    <row r="114" spans="4:4" x14ac:dyDescent="0.35">
      <c r="D114" s="107"/>
    </row>
    <row r="115" spans="4:4" x14ac:dyDescent="0.35">
      <c r="D115" s="107"/>
    </row>
    <row r="116" spans="4:4" x14ac:dyDescent="0.35">
      <c r="D116" s="107"/>
    </row>
    <row r="117" spans="4:4" x14ac:dyDescent="0.35">
      <c r="D117" s="107"/>
    </row>
    <row r="118" spans="4:4" x14ac:dyDescent="0.35">
      <c r="D118" s="107"/>
    </row>
    <row r="119" spans="4:4" x14ac:dyDescent="0.35">
      <c r="D119" s="107"/>
    </row>
    <row r="120" spans="4:4" x14ac:dyDescent="0.35">
      <c r="D120" s="107"/>
    </row>
    <row r="121" spans="4:4" x14ac:dyDescent="0.35">
      <c r="D121" s="107"/>
    </row>
    <row r="122" spans="4:4" x14ac:dyDescent="0.35">
      <c r="D122" s="107"/>
    </row>
    <row r="123" spans="4:4" x14ac:dyDescent="0.35">
      <c r="D123" s="107"/>
    </row>
    <row r="124" spans="4:4" x14ac:dyDescent="0.35">
      <c r="D124" s="107"/>
    </row>
    <row r="125" spans="4:4" x14ac:dyDescent="0.35">
      <c r="D125" s="107"/>
    </row>
    <row r="126" spans="4:4" x14ac:dyDescent="0.35">
      <c r="D126" s="107"/>
    </row>
    <row r="127" spans="4:4" x14ac:dyDescent="0.35">
      <c r="D127" s="107"/>
    </row>
    <row r="128" spans="4:4" x14ac:dyDescent="0.35">
      <c r="D128" s="107"/>
    </row>
    <row r="129" spans="4:4" x14ac:dyDescent="0.35">
      <c r="D129" s="107"/>
    </row>
    <row r="130" spans="4:4" x14ac:dyDescent="0.35">
      <c r="D130" s="107"/>
    </row>
    <row r="131" spans="4:4" x14ac:dyDescent="0.35">
      <c r="D131" s="107"/>
    </row>
    <row r="132" spans="4:4" x14ac:dyDescent="0.35">
      <c r="D132" s="107"/>
    </row>
    <row r="133" spans="4:4" x14ac:dyDescent="0.35">
      <c r="D133" s="107"/>
    </row>
    <row r="134" spans="4:4" x14ac:dyDescent="0.35">
      <c r="D134" s="107"/>
    </row>
    <row r="135" spans="4:4" x14ac:dyDescent="0.35">
      <c r="D135" s="107"/>
    </row>
    <row r="136" spans="4:4" x14ac:dyDescent="0.35">
      <c r="D136" s="107"/>
    </row>
    <row r="137" spans="4:4" x14ac:dyDescent="0.35">
      <c r="D137" s="107"/>
    </row>
    <row r="138" spans="4:4" x14ac:dyDescent="0.35">
      <c r="D138" s="107"/>
    </row>
    <row r="139" spans="4:4" x14ac:dyDescent="0.35">
      <c r="D139" s="107"/>
    </row>
    <row r="140" spans="4:4" x14ac:dyDescent="0.35">
      <c r="D140" s="107"/>
    </row>
    <row r="141" spans="4:4" x14ac:dyDescent="0.35">
      <c r="D141" s="107"/>
    </row>
    <row r="142" spans="4:4" x14ac:dyDescent="0.35">
      <c r="D142" s="107"/>
    </row>
    <row r="143" spans="4:4" x14ac:dyDescent="0.35">
      <c r="D143" s="107"/>
    </row>
    <row r="144" spans="4:4" x14ac:dyDescent="0.35">
      <c r="D144" s="107"/>
    </row>
    <row r="145" spans="4:4" x14ac:dyDescent="0.35">
      <c r="D145" s="107"/>
    </row>
    <row r="146" spans="4:4" x14ac:dyDescent="0.35">
      <c r="D146" s="107"/>
    </row>
    <row r="147" spans="4:4" x14ac:dyDescent="0.35">
      <c r="D147" s="107"/>
    </row>
    <row r="148" spans="4:4" x14ac:dyDescent="0.35">
      <c r="D148" s="107"/>
    </row>
    <row r="149" spans="4:4" x14ac:dyDescent="0.35">
      <c r="D149" s="107"/>
    </row>
    <row r="150" spans="4:4" x14ac:dyDescent="0.35">
      <c r="D150" s="107"/>
    </row>
    <row r="151" spans="4:4" x14ac:dyDescent="0.35">
      <c r="D151" s="107"/>
    </row>
    <row r="152" spans="4:4" x14ac:dyDescent="0.35">
      <c r="D152" s="107"/>
    </row>
    <row r="153" spans="4:4" x14ac:dyDescent="0.35">
      <c r="D153" s="107"/>
    </row>
    <row r="154" spans="4:4" x14ac:dyDescent="0.35">
      <c r="D154" s="107"/>
    </row>
    <row r="155" spans="4:4" x14ac:dyDescent="0.35">
      <c r="D155" s="107"/>
    </row>
    <row r="156" spans="4:4" x14ac:dyDescent="0.35">
      <c r="D156" s="107"/>
    </row>
    <row r="157" spans="4:4" x14ac:dyDescent="0.35">
      <c r="D157" s="107"/>
    </row>
    <row r="158" spans="4:4" x14ac:dyDescent="0.35">
      <c r="D158" s="107"/>
    </row>
    <row r="159" spans="4:4" x14ac:dyDescent="0.35">
      <c r="D159" s="107"/>
    </row>
    <row r="160" spans="4:4" x14ac:dyDescent="0.35">
      <c r="D160" s="107"/>
    </row>
    <row r="161" spans="4:4" x14ac:dyDescent="0.35">
      <c r="D161" s="107"/>
    </row>
    <row r="162" spans="4:4" x14ac:dyDescent="0.35">
      <c r="D162" s="107"/>
    </row>
    <row r="163" spans="4:4" x14ac:dyDescent="0.35">
      <c r="D163" s="107"/>
    </row>
    <row r="164" spans="4:4" x14ac:dyDescent="0.35">
      <c r="D164" s="107"/>
    </row>
    <row r="165" spans="4:4" x14ac:dyDescent="0.35">
      <c r="D165" s="107"/>
    </row>
    <row r="166" spans="4:4" x14ac:dyDescent="0.35">
      <c r="D166" s="107"/>
    </row>
    <row r="167" spans="4:4" x14ac:dyDescent="0.35">
      <c r="D167" s="107"/>
    </row>
    <row r="168" spans="4:4" x14ac:dyDescent="0.35">
      <c r="D168" s="107"/>
    </row>
    <row r="169" spans="4:4" x14ac:dyDescent="0.35">
      <c r="D169" s="107"/>
    </row>
    <row r="170" spans="4:4" x14ac:dyDescent="0.35">
      <c r="D170" s="107"/>
    </row>
    <row r="171" spans="4:4" x14ac:dyDescent="0.35">
      <c r="D171" s="107"/>
    </row>
    <row r="172" spans="4:4" x14ac:dyDescent="0.35">
      <c r="D172" s="107"/>
    </row>
    <row r="173" spans="4:4" x14ac:dyDescent="0.35">
      <c r="D173" s="107"/>
    </row>
    <row r="174" spans="4:4" x14ac:dyDescent="0.35">
      <c r="D174" s="107"/>
    </row>
    <row r="175" spans="4:4" x14ac:dyDescent="0.35">
      <c r="D175" s="107"/>
    </row>
    <row r="176" spans="4:4" x14ac:dyDescent="0.35">
      <c r="D176" s="107"/>
    </row>
    <row r="177" spans="4:4" x14ac:dyDescent="0.35">
      <c r="D177" s="107"/>
    </row>
    <row r="178" spans="4:4" x14ac:dyDescent="0.35">
      <c r="D178" s="107"/>
    </row>
    <row r="179" spans="4:4" x14ac:dyDescent="0.35">
      <c r="D179" s="107"/>
    </row>
    <row r="180" spans="4:4" x14ac:dyDescent="0.35">
      <c r="D180" s="107"/>
    </row>
    <row r="181" spans="4:4" x14ac:dyDescent="0.35">
      <c r="D181" s="107"/>
    </row>
    <row r="182" spans="4:4" x14ac:dyDescent="0.35">
      <c r="D182" s="107"/>
    </row>
    <row r="183" spans="4:4" x14ac:dyDescent="0.35">
      <c r="D183" s="107"/>
    </row>
    <row r="184" spans="4:4" x14ac:dyDescent="0.35">
      <c r="D184" s="107"/>
    </row>
    <row r="185" spans="4:4" x14ac:dyDescent="0.35">
      <c r="D185" s="107"/>
    </row>
    <row r="186" spans="4:4" x14ac:dyDescent="0.35">
      <c r="D186" s="107"/>
    </row>
    <row r="187" spans="4:4" x14ac:dyDescent="0.35">
      <c r="D187" s="107"/>
    </row>
    <row r="188" spans="4:4" x14ac:dyDescent="0.35">
      <c r="D188" s="107"/>
    </row>
    <row r="189" spans="4:4" x14ac:dyDescent="0.35">
      <c r="D189" s="107"/>
    </row>
    <row r="190" spans="4:4" x14ac:dyDescent="0.35">
      <c r="D190" s="107"/>
    </row>
    <row r="191" spans="4:4" x14ac:dyDescent="0.35">
      <c r="D191" s="107"/>
    </row>
    <row r="192" spans="4:4" x14ac:dyDescent="0.35">
      <c r="D192" s="107"/>
    </row>
    <row r="193" spans="4:4" x14ac:dyDescent="0.35">
      <c r="D193" s="107"/>
    </row>
    <row r="194" spans="4:4" x14ac:dyDescent="0.35">
      <c r="D194" s="107"/>
    </row>
    <row r="195" spans="4:4" x14ac:dyDescent="0.35">
      <c r="D195" s="107"/>
    </row>
    <row r="196" spans="4:4" x14ac:dyDescent="0.35">
      <c r="D196" s="107"/>
    </row>
    <row r="197" spans="4:4" x14ac:dyDescent="0.35">
      <c r="D197" s="107"/>
    </row>
    <row r="198" spans="4:4" x14ac:dyDescent="0.35">
      <c r="D198" s="107"/>
    </row>
    <row r="199" spans="4:4" x14ac:dyDescent="0.35">
      <c r="D199" s="107"/>
    </row>
    <row r="200" spans="4:4" x14ac:dyDescent="0.35">
      <c r="D200" s="107"/>
    </row>
    <row r="201" spans="4:4" x14ac:dyDescent="0.35">
      <c r="D201" s="107"/>
    </row>
    <row r="202" spans="4:4" x14ac:dyDescent="0.35">
      <c r="D202" s="107"/>
    </row>
    <row r="203" spans="4:4" x14ac:dyDescent="0.35">
      <c r="D203" s="107"/>
    </row>
    <row r="204" spans="4:4" x14ac:dyDescent="0.35">
      <c r="D204" s="107"/>
    </row>
    <row r="205" spans="4:4" x14ac:dyDescent="0.35">
      <c r="D205" s="107"/>
    </row>
    <row r="206" spans="4:4" x14ac:dyDescent="0.35">
      <c r="D206" s="107"/>
    </row>
    <row r="207" spans="4:4" x14ac:dyDescent="0.35">
      <c r="D207" s="107"/>
    </row>
    <row r="208" spans="4:4" x14ac:dyDescent="0.35">
      <c r="D208" s="107"/>
    </row>
    <row r="209" spans="4:4" x14ac:dyDescent="0.35">
      <c r="D209" s="107"/>
    </row>
    <row r="210" spans="4:4" x14ac:dyDescent="0.35">
      <c r="D210" s="107"/>
    </row>
    <row r="211" spans="4:4" x14ac:dyDescent="0.35">
      <c r="D211" s="107"/>
    </row>
    <row r="212" spans="4:4" x14ac:dyDescent="0.35">
      <c r="D212" s="107"/>
    </row>
    <row r="213" spans="4:4" x14ac:dyDescent="0.35">
      <c r="D213" s="107"/>
    </row>
    <row r="214" spans="4:4" x14ac:dyDescent="0.35">
      <c r="D214" s="107"/>
    </row>
    <row r="215" spans="4:4" x14ac:dyDescent="0.35">
      <c r="D215" s="107"/>
    </row>
    <row r="216" spans="4:4" x14ac:dyDescent="0.35">
      <c r="D216" s="107"/>
    </row>
    <row r="217" spans="4:4" x14ac:dyDescent="0.35">
      <c r="D217" s="107"/>
    </row>
    <row r="218" spans="4:4" x14ac:dyDescent="0.35">
      <c r="D218" s="107"/>
    </row>
    <row r="219" spans="4:4" x14ac:dyDescent="0.35">
      <c r="D219" s="107"/>
    </row>
    <row r="220" spans="4:4" x14ac:dyDescent="0.35">
      <c r="D220" s="107"/>
    </row>
    <row r="221" spans="4:4" x14ac:dyDescent="0.35">
      <c r="D221" s="107"/>
    </row>
    <row r="222" spans="4:4" x14ac:dyDescent="0.35">
      <c r="D222" s="107"/>
    </row>
    <row r="223" spans="4:4" x14ac:dyDescent="0.35">
      <c r="D223" s="107"/>
    </row>
    <row r="224" spans="4:4" x14ac:dyDescent="0.35">
      <c r="D224" s="107"/>
    </row>
    <row r="225" spans="4:4" x14ac:dyDescent="0.35">
      <c r="D225" s="107"/>
    </row>
    <row r="226" spans="4:4" x14ac:dyDescent="0.35">
      <c r="D226" s="107"/>
    </row>
    <row r="227" spans="4:4" x14ac:dyDescent="0.35">
      <c r="D227" s="107"/>
    </row>
    <row r="228" spans="4:4" x14ac:dyDescent="0.35">
      <c r="D228" s="107"/>
    </row>
    <row r="229" spans="4:4" x14ac:dyDescent="0.35">
      <c r="D229" s="107"/>
    </row>
    <row r="230" spans="4:4" x14ac:dyDescent="0.35">
      <c r="D230" s="107"/>
    </row>
    <row r="231" spans="4:4" x14ac:dyDescent="0.35">
      <c r="D231" s="107"/>
    </row>
    <row r="232" spans="4:4" x14ac:dyDescent="0.35">
      <c r="D232" s="107"/>
    </row>
    <row r="233" spans="4:4" x14ac:dyDescent="0.35">
      <c r="D233" s="107"/>
    </row>
    <row r="234" spans="4:4" x14ac:dyDescent="0.35">
      <c r="D234" s="107"/>
    </row>
    <row r="235" spans="4:4" x14ac:dyDescent="0.35">
      <c r="D235" s="107"/>
    </row>
    <row r="236" spans="4:4" x14ac:dyDescent="0.35">
      <c r="D236" s="107"/>
    </row>
    <row r="237" spans="4:4" x14ac:dyDescent="0.35">
      <c r="D237" s="107"/>
    </row>
    <row r="238" spans="4:4" x14ac:dyDescent="0.35">
      <c r="D238" s="107"/>
    </row>
    <row r="239" spans="4:4" x14ac:dyDescent="0.35">
      <c r="D239" s="107"/>
    </row>
    <row r="240" spans="4:4" x14ac:dyDescent="0.35">
      <c r="D240" s="107"/>
    </row>
    <row r="241" spans="4:4" x14ac:dyDescent="0.35">
      <c r="D241" s="107"/>
    </row>
    <row r="242" spans="4:4" x14ac:dyDescent="0.35">
      <c r="D242" s="107"/>
    </row>
    <row r="243" spans="4:4" x14ac:dyDescent="0.35">
      <c r="D243" s="107"/>
    </row>
    <row r="244" spans="4:4" x14ac:dyDescent="0.35">
      <c r="D244" s="107"/>
    </row>
    <row r="245" spans="4:4" x14ac:dyDescent="0.35">
      <c r="D245" s="107"/>
    </row>
    <row r="246" spans="4:4" x14ac:dyDescent="0.35">
      <c r="D246" s="107"/>
    </row>
    <row r="247" spans="4:4" x14ac:dyDescent="0.35">
      <c r="D247" s="107"/>
    </row>
    <row r="248" spans="4:4" x14ac:dyDescent="0.35">
      <c r="D248" s="107"/>
    </row>
    <row r="249" spans="4:4" x14ac:dyDescent="0.35">
      <c r="D249" s="107"/>
    </row>
    <row r="250" spans="4:4" x14ac:dyDescent="0.35">
      <c r="D250" s="107"/>
    </row>
    <row r="251" spans="4:4" x14ac:dyDescent="0.35">
      <c r="D251" s="107"/>
    </row>
    <row r="252" spans="4:4" x14ac:dyDescent="0.35">
      <c r="D252" s="107"/>
    </row>
    <row r="253" spans="4:4" x14ac:dyDescent="0.35">
      <c r="D253" s="107"/>
    </row>
    <row r="254" spans="4:4" x14ac:dyDescent="0.35">
      <c r="D254" s="107"/>
    </row>
    <row r="255" spans="4:4" x14ac:dyDescent="0.35">
      <c r="D255" s="107"/>
    </row>
    <row r="256" spans="4:4" x14ac:dyDescent="0.35">
      <c r="D256" s="107"/>
    </row>
    <row r="257" spans="4:4" x14ac:dyDescent="0.35">
      <c r="D257" s="107"/>
    </row>
    <row r="258" spans="4:4" x14ac:dyDescent="0.35">
      <c r="D258" s="107"/>
    </row>
    <row r="259" spans="4:4" x14ac:dyDescent="0.35">
      <c r="D259" s="107"/>
    </row>
    <row r="260" spans="4:4" x14ac:dyDescent="0.35">
      <c r="D260" s="107"/>
    </row>
    <row r="261" spans="4:4" x14ac:dyDescent="0.35">
      <c r="D261" s="107"/>
    </row>
    <row r="262" spans="4:4" x14ac:dyDescent="0.35">
      <c r="D262" s="107"/>
    </row>
    <row r="263" spans="4:4" x14ac:dyDescent="0.35">
      <c r="D263" s="107"/>
    </row>
    <row r="264" spans="4:4" x14ac:dyDescent="0.35">
      <c r="D264" s="107"/>
    </row>
    <row r="265" spans="4:4" x14ac:dyDescent="0.35">
      <c r="D265" s="107"/>
    </row>
    <row r="266" spans="4:4" x14ac:dyDescent="0.35">
      <c r="D266" s="107"/>
    </row>
    <row r="267" spans="4:4" x14ac:dyDescent="0.35">
      <c r="D267" s="107"/>
    </row>
    <row r="268" spans="4:4" x14ac:dyDescent="0.35">
      <c r="D268" s="107"/>
    </row>
    <row r="269" spans="4:4" x14ac:dyDescent="0.35">
      <c r="D269" s="107"/>
    </row>
    <row r="270" spans="4:4" x14ac:dyDescent="0.35">
      <c r="D270" s="107"/>
    </row>
    <row r="271" spans="4:4" x14ac:dyDescent="0.35">
      <c r="D271" s="107"/>
    </row>
    <row r="272" spans="4:4" x14ac:dyDescent="0.35">
      <c r="D272" s="107"/>
    </row>
    <row r="273" spans="4:4" x14ac:dyDescent="0.35">
      <c r="D273" s="107"/>
    </row>
    <row r="274" spans="4:4" x14ac:dyDescent="0.35">
      <c r="D274" s="107"/>
    </row>
    <row r="275" spans="4:4" x14ac:dyDescent="0.35">
      <c r="D275" s="107"/>
    </row>
    <row r="276" spans="4:4" x14ac:dyDescent="0.35">
      <c r="D276" s="107"/>
    </row>
    <row r="277" spans="4:4" x14ac:dyDescent="0.35">
      <c r="D277" s="107"/>
    </row>
    <row r="278" spans="4:4" x14ac:dyDescent="0.35">
      <c r="D278" s="107"/>
    </row>
    <row r="279" spans="4:4" x14ac:dyDescent="0.35">
      <c r="D279" s="107"/>
    </row>
    <row r="280" spans="4:4" x14ac:dyDescent="0.35">
      <c r="D280" s="107"/>
    </row>
    <row r="281" spans="4:4" x14ac:dyDescent="0.35">
      <c r="D281" s="107"/>
    </row>
    <row r="282" spans="4:4" x14ac:dyDescent="0.35">
      <c r="D282" s="107"/>
    </row>
    <row r="283" spans="4:4" x14ac:dyDescent="0.35">
      <c r="D283" s="107"/>
    </row>
    <row r="284" spans="4:4" x14ac:dyDescent="0.35">
      <c r="D284" s="107"/>
    </row>
    <row r="285" spans="4:4" x14ac:dyDescent="0.35">
      <c r="D285" s="107"/>
    </row>
    <row r="286" spans="4:4" x14ac:dyDescent="0.35">
      <c r="D286" s="107"/>
    </row>
    <row r="287" spans="4:4" x14ac:dyDescent="0.35">
      <c r="D287" s="107"/>
    </row>
    <row r="288" spans="4:4" x14ac:dyDescent="0.35">
      <c r="D288" s="107"/>
    </row>
    <row r="289" spans="4:4" x14ac:dyDescent="0.35">
      <c r="D289" s="107"/>
    </row>
    <row r="290" spans="4:4" x14ac:dyDescent="0.35">
      <c r="D290" s="107"/>
    </row>
    <row r="291" spans="4:4" x14ac:dyDescent="0.35">
      <c r="D291" s="107"/>
    </row>
    <row r="292" spans="4:4" x14ac:dyDescent="0.35">
      <c r="D292" s="107"/>
    </row>
    <row r="293" spans="4:4" x14ac:dyDescent="0.35">
      <c r="D293" s="107"/>
    </row>
    <row r="294" spans="4:4" x14ac:dyDescent="0.35">
      <c r="D294" s="107"/>
    </row>
    <row r="295" spans="4:4" x14ac:dyDescent="0.35">
      <c r="D295" s="107"/>
    </row>
    <row r="296" spans="4:4" x14ac:dyDescent="0.35">
      <c r="D296" s="107"/>
    </row>
    <row r="297" spans="4:4" x14ac:dyDescent="0.35">
      <c r="D297" s="107"/>
    </row>
    <row r="298" spans="4:4" x14ac:dyDescent="0.35">
      <c r="D298" s="107"/>
    </row>
    <row r="299" spans="4:4" x14ac:dyDescent="0.35">
      <c r="D299" s="107"/>
    </row>
    <row r="300" spans="4:4" x14ac:dyDescent="0.35">
      <c r="D300" s="107"/>
    </row>
    <row r="301" spans="4:4" x14ac:dyDescent="0.35">
      <c r="D301" s="107"/>
    </row>
    <row r="302" spans="4:4" x14ac:dyDescent="0.35">
      <c r="D302" s="107"/>
    </row>
    <row r="303" spans="4:4" x14ac:dyDescent="0.35">
      <c r="D303" s="107"/>
    </row>
    <row r="304" spans="4:4" x14ac:dyDescent="0.35">
      <c r="D304" s="107"/>
    </row>
    <row r="305" spans="4:4" x14ac:dyDescent="0.35">
      <c r="D305" s="107"/>
    </row>
    <row r="306" spans="4:4" x14ac:dyDescent="0.35">
      <c r="D306" s="107"/>
    </row>
    <row r="307" spans="4:4" x14ac:dyDescent="0.35">
      <c r="D307" s="107"/>
    </row>
    <row r="308" spans="4:4" x14ac:dyDescent="0.35">
      <c r="D308" s="107"/>
    </row>
    <row r="309" spans="4:4" x14ac:dyDescent="0.35">
      <c r="D309" s="107"/>
    </row>
    <row r="310" spans="4:4" x14ac:dyDescent="0.35">
      <c r="D310" s="107"/>
    </row>
    <row r="311" spans="4:4" x14ac:dyDescent="0.35">
      <c r="D311" s="107"/>
    </row>
    <row r="312" spans="4:4" x14ac:dyDescent="0.35">
      <c r="D312" s="107"/>
    </row>
    <row r="313" spans="4:4" x14ac:dyDescent="0.35">
      <c r="D313" s="107"/>
    </row>
    <row r="314" spans="4:4" x14ac:dyDescent="0.35">
      <c r="D314" s="107"/>
    </row>
    <row r="315" spans="4:4" x14ac:dyDescent="0.35">
      <c r="D315" s="107"/>
    </row>
    <row r="316" spans="4:4" x14ac:dyDescent="0.35">
      <c r="D316" s="107"/>
    </row>
    <row r="317" spans="4:4" x14ac:dyDescent="0.35">
      <c r="D317" s="107"/>
    </row>
    <row r="318" spans="4:4" x14ac:dyDescent="0.35">
      <c r="D318" s="107"/>
    </row>
    <row r="319" spans="4:4" x14ac:dyDescent="0.35">
      <c r="D319" s="107"/>
    </row>
    <row r="320" spans="4:4" x14ac:dyDescent="0.35">
      <c r="D320" s="107"/>
    </row>
    <row r="321" spans="4:4" x14ac:dyDescent="0.35">
      <c r="D321" s="107"/>
    </row>
  </sheetData>
  <sheetProtection sheet="1" objects="1" scenarios="1"/>
  <mergeCells count="1">
    <mergeCell ref="A1:E1"/>
  </mergeCells>
  <conditionalFormatting sqref="A3:E2000">
    <cfRule type="expression" dxfId="3" priority="3" stopIfTrue="1">
      <formula>AND(NOT(ISBLANK($A3)),ISODD(ROW($A3)))</formula>
    </cfRule>
    <cfRule type="expression" dxfId="2" priority="4">
      <formula>AND(NOT(ISBLANK($A3)),ISEVEN(ROW($A3)))</formula>
    </cfRule>
  </conditionalFormatting>
  <conditionalFormatting sqref="D3:E2000">
    <cfRule type="expression" dxfId="1" priority="1" stopIfTrue="1">
      <formula>NOT(ISBLANK($D3))</formula>
    </cfRule>
  </conditionalFormatting>
  <conditionalFormatting sqref="D3:D2000">
    <cfRule type="expression" dxfId="0" priority="2" stopIfTrue="1">
      <formula>ISBLANK($D3)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963C5-38D5-4C6F-AD2B-5169AE6CC6AE}">
  <sheetPr codeName="Sheet5"/>
  <dimension ref="A1:D513"/>
  <sheetViews>
    <sheetView zoomScale="90" zoomScaleNormal="90" workbookViewId="0">
      <selection activeCell="C2" sqref="C2"/>
    </sheetView>
  </sheetViews>
  <sheetFormatPr defaultColWidth="9.453125" defaultRowHeight="18.5" x14ac:dyDescent="0.35"/>
  <cols>
    <col min="1" max="2" width="130.7265625" style="56" customWidth="1"/>
    <col min="3" max="3" width="14.81640625" style="2" customWidth="1"/>
    <col min="4" max="4" width="19.54296875" style="2" customWidth="1"/>
    <col min="5" max="16384" width="9.453125" style="2"/>
  </cols>
  <sheetData>
    <row r="1" spans="1:4" ht="45" customHeight="1" x14ac:dyDescent="0.35">
      <c r="A1" s="59" t="s">
        <v>157</v>
      </c>
      <c r="B1" s="62" t="s">
        <v>158</v>
      </c>
      <c r="C1" s="61" t="b">
        <v>1</v>
      </c>
    </row>
    <row r="2" spans="1:4" ht="30" customHeight="1" x14ac:dyDescent="0.35">
      <c r="A2" s="60" t="s">
        <v>155</v>
      </c>
      <c r="B2" s="60" t="s">
        <v>156</v>
      </c>
      <c r="C2" s="39" cm="1">
        <f t="array" ref="C2">SUM(IF(LEN(_xlfn.ANCHORARRAY($A$3))&gt;3,1,0))</f>
        <v>0</v>
      </c>
      <c r="D2" s="38"/>
    </row>
    <row r="3" spans="1:4" ht="19.5" customHeight="1" x14ac:dyDescent="0.35">
      <c r="A3" s="58" cm="1">
        <f t="array" ref="A3">IF( AND( $C$1, 'List of Names'!$K$7&gt;=1, 'List of Names'!$K$5),
     _xlfn.LET( _xlpm.list_01,_xlfn.ANCHORARRAY( 'List of Names'!$J$9), _xlpm.tmp_rws, ROWS(_xlpm.list_01),
          _xlpm.res_01, _xlfn.HSTACK( _xlfn.CHOOSECOLS(_xlpm.list_01,3) &amp;"\"&amp; _xlfn.CHOOSECOLS( _xlpm.list_01,1), _xlfn.CHOOSECOLS( _xlpm.list_01,3) &amp;"\"&amp; _xlfn.CHOOSECOLS( _xlpm.list_01,2) ),
          _xlfn.SORTBY( _xlpm.res_01, _xlfn.SEQUENCE( _xlpm.tmp_rws, , _xlpm.tmp_rws,-1), 1)
        ), 0)</f>
        <v>0</v>
      </c>
      <c r="B3" s="57"/>
    </row>
    <row r="4" spans="1:4" ht="14.5" x14ac:dyDescent="0.35">
      <c r="A4" s="57"/>
      <c r="B4" s="57"/>
    </row>
    <row r="5" spans="1:4" ht="14.5" x14ac:dyDescent="0.35">
      <c r="A5" s="57"/>
      <c r="B5" s="57"/>
    </row>
    <row r="6" spans="1:4" ht="14.5" x14ac:dyDescent="0.35">
      <c r="A6" s="57"/>
      <c r="B6" s="57"/>
    </row>
    <row r="7" spans="1:4" ht="14.5" x14ac:dyDescent="0.35">
      <c r="A7" s="57"/>
      <c r="B7" s="57"/>
      <c r="D7" s="37"/>
    </row>
    <row r="8" spans="1:4" ht="14.5" x14ac:dyDescent="0.35">
      <c r="A8" s="57"/>
      <c r="B8" s="57"/>
    </row>
    <row r="9" spans="1:4" ht="14.5" x14ac:dyDescent="0.35">
      <c r="A9" s="57"/>
      <c r="B9" s="57"/>
    </row>
    <row r="10" spans="1:4" ht="14.5" x14ac:dyDescent="0.35">
      <c r="A10" s="57"/>
      <c r="B10" s="57"/>
    </row>
    <row r="11" spans="1:4" ht="14.5" x14ac:dyDescent="0.35">
      <c r="A11" s="57"/>
      <c r="B11" s="57"/>
    </row>
    <row r="12" spans="1:4" ht="14.5" x14ac:dyDescent="0.35">
      <c r="A12" s="57"/>
      <c r="B12" s="57"/>
    </row>
    <row r="13" spans="1:4" ht="14.5" x14ac:dyDescent="0.35">
      <c r="A13" s="57"/>
      <c r="B13" s="57"/>
    </row>
    <row r="14" spans="1:4" ht="14.5" x14ac:dyDescent="0.35">
      <c r="A14" s="57"/>
      <c r="B14" s="57"/>
    </row>
    <row r="15" spans="1:4" ht="14.5" x14ac:dyDescent="0.35">
      <c r="A15" s="57"/>
      <c r="B15" s="57"/>
    </row>
    <row r="16" spans="1:4" ht="14.5" x14ac:dyDescent="0.35">
      <c r="A16" s="57"/>
      <c r="B16" s="57"/>
    </row>
    <row r="17" spans="1:2" ht="14.5" x14ac:dyDescent="0.35">
      <c r="A17" s="57"/>
      <c r="B17" s="57"/>
    </row>
    <row r="18" spans="1:2" ht="14.5" x14ac:dyDescent="0.35">
      <c r="A18" s="57"/>
      <c r="B18" s="57"/>
    </row>
    <row r="19" spans="1:2" ht="14.5" x14ac:dyDescent="0.35">
      <c r="A19" s="57"/>
      <c r="B19" s="57"/>
    </row>
    <row r="20" spans="1:2" ht="14.5" x14ac:dyDescent="0.35">
      <c r="A20" s="57"/>
      <c r="B20" s="57"/>
    </row>
    <row r="21" spans="1:2" ht="14.5" x14ac:dyDescent="0.35">
      <c r="A21" s="57"/>
      <c r="B21" s="57"/>
    </row>
    <row r="22" spans="1:2" ht="14.5" x14ac:dyDescent="0.35">
      <c r="A22" s="57"/>
      <c r="B22" s="57"/>
    </row>
    <row r="23" spans="1:2" ht="14.5" x14ac:dyDescent="0.35">
      <c r="A23" s="57"/>
      <c r="B23" s="57"/>
    </row>
    <row r="24" spans="1:2" ht="14.5" x14ac:dyDescent="0.35">
      <c r="A24" s="57"/>
      <c r="B24" s="57"/>
    </row>
    <row r="25" spans="1:2" ht="14.5" x14ac:dyDescent="0.35">
      <c r="A25" s="57"/>
      <c r="B25" s="57"/>
    </row>
    <row r="26" spans="1:2" ht="14.5" x14ac:dyDescent="0.35">
      <c r="A26" s="57"/>
      <c r="B26" s="57"/>
    </row>
    <row r="27" spans="1:2" ht="14.5" x14ac:dyDescent="0.35">
      <c r="A27" s="57"/>
      <c r="B27" s="57"/>
    </row>
    <row r="28" spans="1:2" ht="14.5" x14ac:dyDescent="0.35">
      <c r="A28" s="57"/>
      <c r="B28" s="57"/>
    </row>
    <row r="29" spans="1:2" ht="14.5" x14ac:dyDescent="0.35">
      <c r="A29" s="57"/>
      <c r="B29" s="57"/>
    </row>
    <row r="30" spans="1:2" ht="14.5" x14ac:dyDescent="0.35">
      <c r="A30" s="57"/>
      <c r="B30" s="57"/>
    </row>
    <row r="31" spans="1:2" ht="14.5" x14ac:dyDescent="0.35">
      <c r="A31" s="57"/>
      <c r="B31" s="57"/>
    </row>
    <row r="32" spans="1:2" ht="14.5" x14ac:dyDescent="0.35">
      <c r="A32" s="57"/>
      <c r="B32" s="57"/>
    </row>
    <row r="33" spans="1:2" ht="14.5" x14ac:dyDescent="0.35">
      <c r="A33" s="57"/>
      <c r="B33" s="57"/>
    </row>
    <row r="34" spans="1:2" ht="14.5" x14ac:dyDescent="0.35">
      <c r="A34" s="57"/>
      <c r="B34" s="57"/>
    </row>
    <row r="35" spans="1:2" ht="14.5" x14ac:dyDescent="0.35">
      <c r="A35" s="57"/>
      <c r="B35" s="57"/>
    </row>
    <row r="36" spans="1:2" ht="14.5" x14ac:dyDescent="0.35">
      <c r="A36" s="57"/>
      <c r="B36" s="57"/>
    </row>
    <row r="37" spans="1:2" ht="14.5" x14ac:dyDescent="0.35">
      <c r="A37" s="57"/>
      <c r="B37" s="57"/>
    </row>
    <row r="38" spans="1:2" ht="14.5" x14ac:dyDescent="0.35">
      <c r="A38" s="57"/>
      <c r="B38" s="57"/>
    </row>
    <row r="39" spans="1:2" ht="14.5" x14ac:dyDescent="0.35">
      <c r="A39" s="57"/>
      <c r="B39" s="57"/>
    </row>
    <row r="40" spans="1:2" ht="14.5" x14ac:dyDescent="0.35">
      <c r="A40" s="57"/>
      <c r="B40" s="57"/>
    </row>
    <row r="41" spans="1:2" ht="14.5" x14ac:dyDescent="0.35">
      <c r="A41" s="57"/>
      <c r="B41" s="57"/>
    </row>
    <row r="42" spans="1:2" ht="14.5" x14ac:dyDescent="0.35">
      <c r="A42" s="57"/>
      <c r="B42" s="57"/>
    </row>
    <row r="43" spans="1:2" ht="14.5" x14ac:dyDescent="0.35">
      <c r="A43" s="57"/>
      <c r="B43" s="57"/>
    </row>
    <row r="44" spans="1:2" ht="14.5" x14ac:dyDescent="0.35">
      <c r="A44" s="57"/>
      <c r="B44" s="57"/>
    </row>
    <row r="45" spans="1:2" ht="14.5" x14ac:dyDescent="0.35">
      <c r="A45" s="57"/>
      <c r="B45" s="57"/>
    </row>
    <row r="46" spans="1:2" ht="14.5" x14ac:dyDescent="0.35">
      <c r="A46" s="57"/>
      <c r="B46" s="57"/>
    </row>
    <row r="47" spans="1:2" ht="14.5" x14ac:dyDescent="0.35">
      <c r="A47" s="57"/>
      <c r="B47" s="57"/>
    </row>
    <row r="48" spans="1:2" ht="14.5" x14ac:dyDescent="0.35">
      <c r="A48" s="57"/>
      <c r="B48" s="57"/>
    </row>
    <row r="49" spans="1:2" ht="14.5" x14ac:dyDescent="0.35">
      <c r="A49" s="57"/>
      <c r="B49" s="57"/>
    </row>
    <row r="50" spans="1:2" ht="14.5" x14ac:dyDescent="0.35">
      <c r="A50" s="57"/>
      <c r="B50" s="57"/>
    </row>
    <row r="51" spans="1:2" ht="14.5" x14ac:dyDescent="0.35">
      <c r="A51" s="57"/>
      <c r="B51" s="57"/>
    </row>
    <row r="52" spans="1:2" ht="14.5" x14ac:dyDescent="0.35">
      <c r="A52" s="57"/>
      <c r="B52" s="57"/>
    </row>
    <row r="53" spans="1:2" ht="14.5" x14ac:dyDescent="0.35">
      <c r="A53" s="57"/>
      <c r="B53" s="57"/>
    </row>
    <row r="54" spans="1:2" ht="14.5" x14ac:dyDescent="0.35">
      <c r="A54" s="57"/>
      <c r="B54" s="57"/>
    </row>
    <row r="55" spans="1:2" ht="14.5" x14ac:dyDescent="0.35">
      <c r="A55" s="57"/>
      <c r="B55" s="57"/>
    </row>
    <row r="56" spans="1:2" ht="14.5" x14ac:dyDescent="0.35">
      <c r="A56" s="57"/>
      <c r="B56" s="57"/>
    </row>
    <row r="57" spans="1:2" ht="14.5" x14ac:dyDescent="0.35">
      <c r="A57" s="57"/>
      <c r="B57" s="57"/>
    </row>
    <row r="58" spans="1:2" ht="14.5" x14ac:dyDescent="0.35">
      <c r="A58" s="57"/>
      <c r="B58" s="57"/>
    </row>
    <row r="59" spans="1:2" ht="14.5" x14ac:dyDescent="0.35">
      <c r="A59" s="57"/>
      <c r="B59" s="57"/>
    </row>
    <row r="60" spans="1:2" ht="14.5" x14ac:dyDescent="0.35">
      <c r="A60" s="57"/>
      <c r="B60" s="57"/>
    </row>
    <row r="61" spans="1:2" ht="14.5" x14ac:dyDescent="0.35">
      <c r="A61" s="57"/>
      <c r="B61" s="57"/>
    </row>
    <row r="62" spans="1:2" ht="14.5" x14ac:dyDescent="0.35">
      <c r="A62" s="57"/>
      <c r="B62" s="57"/>
    </row>
    <row r="63" spans="1:2" ht="14.5" x14ac:dyDescent="0.35">
      <c r="A63" s="57"/>
      <c r="B63" s="57"/>
    </row>
    <row r="64" spans="1:2" ht="14.5" x14ac:dyDescent="0.35">
      <c r="A64" s="57"/>
      <c r="B64" s="57"/>
    </row>
    <row r="65" spans="1:2" ht="14.5" x14ac:dyDescent="0.35">
      <c r="A65" s="57"/>
      <c r="B65" s="57"/>
    </row>
    <row r="66" spans="1:2" ht="14.5" x14ac:dyDescent="0.35">
      <c r="A66" s="57"/>
      <c r="B66" s="57"/>
    </row>
    <row r="67" spans="1:2" ht="14.5" x14ac:dyDescent="0.35">
      <c r="A67" s="57"/>
      <c r="B67" s="57"/>
    </row>
    <row r="68" spans="1:2" ht="14.5" x14ac:dyDescent="0.35">
      <c r="A68" s="57"/>
      <c r="B68" s="57"/>
    </row>
    <row r="69" spans="1:2" ht="14.5" x14ac:dyDescent="0.35">
      <c r="A69" s="57"/>
      <c r="B69" s="57"/>
    </row>
    <row r="70" spans="1:2" ht="14.5" x14ac:dyDescent="0.35">
      <c r="A70" s="57"/>
      <c r="B70" s="57"/>
    </row>
    <row r="71" spans="1:2" ht="14.5" x14ac:dyDescent="0.35">
      <c r="A71" s="57"/>
      <c r="B71" s="57"/>
    </row>
    <row r="72" spans="1:2" ht="14.5" x14ac:dyDescent="0.35">
      <c r="A72" s="57"/>
      <c r="B72" s="57"/>
    </row>
    <row r="73" spans="1:2" ht="14.5" x14ac:dyDescent="0.35">
      <c r="A73" s="57"/>
      <c r="B73" s="57"/>
    </row>
    <row r="74" spans="1:2" ht="14.5" x14ac:dyDescent="0.35">
      <c r="A74" s="57"/>
      <c r="B74" s="57"/>
    </row>
    <row r="75" spans="1:2" ht="14.5" x14ac:dyDescent="0.35">
      <c r="A75" s="57"/>
      <c r="B75" s="57"/>
    </row>
    <row r="76" spans="1:2" ht="14.5" x14ac:dyDescent="0.35">
      <c r="A76" s="57"/>
      <c r="B76" s="57"/>
    </row>
    <row r="77" spans="1:2" ht="14.5" x14ac:dyDescent="0.35">
      <c r="A77" s="57"/>
      <c r="B77" s="57"/>
    </row>
    <row r="78" spans="1:2" ht="14.5" x14ac:dyDescent="0.35">
      <c r="A78" s="57"/>
      <c r="B78" s="57"/>
    </row>
    <row r="79" spans="1:2" ht="14.5" x14ac:dyDescent="0.35">
      <c r="A79" s="57"/>
      <c r="B79" s="57"/>
    </row>
    <row r="80" spans="1:2" ht="14.5" x14ac:dyDescent="0.35">
      <c r="A80" s="57"/>
      <c r="B80" s="57"/>
    </row>
    <row r="81" spans="1:2" ht="14.5" x14ac:dyDescent="0.35">
      <c r="A81" s="57"/>
      <c r="B81" s="57"/>
    </row>
    <row r="82" spans="1:2" ht="14.5" x14ac:dyDescent="0.35">
      <c r="A82" s="57"/>
      <c r="B82" s="57"/>
    </row>
    <row r="83" spans="1:2" ht="14.5" x14ac:dyDescent="0.35">
      <c r="A83" s="57"/>
      <c r="B83" s="57"/>
    </row>
    <row r="84" spans="1:2" ht="14.5" x14ac:dyDescent="0.35">
      <c r="A84" s="57"/>
      <c r="B84" s="57"/>
    </row>
    <row r="85" spans="1:2" ht="14.5" x14ac:dyDescent="0.35">
      <c r="A85" s="57"/>
      <c r="B85" s="57"/>
    </row>
    <row r="86" spans="1:2" ht="14.5" x14ac:dyDescent="0.35">
      <c r="A86" s="57"/>
      <c r="B86" s="57"/>
    </row>
    <row r="87" spans="1:2" ht="14.5" x14ac:dyDescent="0.35">
      <c r="A87" s="57"/>
      <c r="B87" s="57"/>
    </row>
    <row r="88" spans="1:2" ht="14.5" x14ac:dyDescent="0.35">
      <c r="A88" s="57"/>
      <c r="B88" s="57"/>
    </row>
    <row r="89" spans="1:2" ht="14.5" x14ac:dyDescent="0.35">
      <c r="A89" s="57"/>
      <c r="B89" s="57"/>
    </row>
    <row r="90" spans="1:2" ht="14.5" x14ac:dyDescent="0.35">
      <c r="A90" s="57"/>
      <c r="B90" s="57"/>
    </row>
    <row r="91" spans="1:2" ht="14.5" x14ac:dyDescent="0.35">
      <c r="A91" s="57"/>
      <c r="B91" s="57"/>
    </row>
    <row r="92" spans="1:2" ht="14.5" x14ac:dyDescent="0.35">
      <c r="A92" s="57"/>
      <c r="B92" s="57"/>
    </row>
    <row r="93" spans="1:2" ht="14.5" x14ac:dyDescent="0.35">
      <c r="A93" s="57"/>
      <c r="B93" s="57"/>
    </row>
    <row r="94" spans="1:2" ht="14.5" x14ac:dyDescent="0.35">
      <c r="A94" s="57"/>
      <c r="B94" s="57"/>
    </row>
    <row r="95" spans="1:2" ht="14.5" x14ac:dyDescent="0.35">
      <c r="A95" s="57"/>
      <c r="B95" s="57"/>
    </row>
    <row r="96" spans="1:2" ht="14.5" x14ac:dyDescent="0.35">
      <c r="A96" s="57"/>
      <c r="B96" s="57"/>
    </row>
    <row r="97" spans="1:2" ht="14.5" x14ac:dyDescent="0.35">
      <c r="A97" s="57"/>
      <c r="B97" s="57"/>
    </row>
    <row r="98" spans="1:2" ht="14.5" x14ac:dyDescent="0.35">
      <c r="A98" s="57"/>
      <c r="B98" s="57"/>
    </row>
    <row r="99" spans="1:2" ht="14.5" x14ac:dyDescent="0.35">
      <c r="A99" s="57"/>
      <c r="B99" s="57"/>
    </row>
    <row r="100" spans="1:2" ht="14.5" x14ac:dyDescent="0.35">
      <c r="A100" s="57"/>
      <c r="B100" s="57"/>
    </row>
    <row r="101" spans="1:2" ht="14.5" x14ac:dyDescent="0.35">
      <c r="A101" s="57"/>
      <c r="B101" s="57"/>
    </row>
    <row r="102" spans="1:2" ht="14.5" x14ac:dyDescent="0.35">
      <c r="A102" s="57"/>
      <c r="B102" s="57"/>
    </row>
    <row r="103" spans="1:2" ht="14.5" x14ac:dyDescent="0.35">
      <c r="A103" s="57"/>
      <c r="B103" s="57"/>
    </row>
    <row r="104" spans="1:2" ht="14.5" x14ac:dyDescent="0.35">
      <c r="A104" s="57"/>
      <c r="B104" s="57"/>
    </row>
    <row r="105" spans="1:2" ht="14.5" x14ac:dyDescent="0.35">
      <c r="A105" s="57"/>
      <c r="B105" s="57"/>
    </row>
    <row r="106" spans="1:2" ht="14.5" x14ac:dyDescent="0.35">
      <c r="A106" s="57"/>
      <c r="B106" s="57"/>
    </row>
    <row r="107" spans="1:2" ht="14.5" x14ac:dyDescent="0.35">
      <c r="A107" s="57"/>
      <c r="B107" s="57"/>
    </row>
    <row r="108" spans="1:2" ht="14.5" x14ac:dyDescent="0.35">
      <c r="A108" s="57"/>
      <c r="B108" s="57"/>
    </row>
    <row r="109" spans="1:2" ht="14.5" x14ac:dyDescent="0.35">
      <c r="A109" s="57"/>
      <c r="B109" s="57"/>
    </row>
    <row r="110" spans="1:2" ht="14.5" x14ac:dyDescent="0.35">
      <c r="A110" s="57"/>
      <c r="B110" s="57"/>
    </row>
    <row r="111" spans="1:2" ht="14.5" x14ac:dyDescent="0.35">
      <c r="A111" s="57"/>
      <c r="B111" s="57"/>
    </row>
    <row r="112" spans="1:2" ht="14.5" x14ac:dyDescent="0.35">
      <c r="A112" s="57"/>
      <c r="B112" s="57"/>
    </row>
    <row r="113" spans="1:2" ht="14.5" x14ac:dyDescent="0.35">
      <c r="A113" s="57"/>
      <c r="B113" s="57"/>
    </row>
    <row r="114" spans="1:2" ht="14.5" x14ac:dyDescent="0.35">
      <c r="A114" s="57"/>
      <c r="B114" s="57"/>
    </row>
    <row r="115" spans="1:2" ht="14.5" x14ac:dyDescent="0.35">
      <c r="A115" s="57"/>
      <c r="B115" s="57"/>
    </row>
    <row r="116" spans="1:2" ht="14.5" x14ac:dyDescent="0.35">
      <c r="A116" s="57"/>
      <c r="B116" s="57"/>
    </row>
    <row r="117" spans="1:2" ht="14.5" x14ac:dyDescent="0.35">
      <c r="A117" s="57"/>
      <c r="B117" s="57"/>
    </row>
    <row r="118" spans="1:2" ht="14.5" x14ac:dyDescent="0.35">
      <c r="A118" s="57"/>
      <c r="B118" s="57"/>
    </row>
    <row r="119" spans="1:2" ht="14.5" x14ac:dyDescent="0.35">
      <c r="A119" s="57"/>
      <c r="B119" s="57"/>
    </row>
    <row r="120" spans="1:2" ht="14.5" x14ac:dyDescent="0.35">
      <c r="A120" s="57"/>
      <c r="B120" s="57"/>
    </row>
    <row r="121" spans="1:2" ht="14.5" x14ac:dyDescent="0.35">
      <c r="A121" s="57"/>
      <c r="B121" s="57"/>
    </row>
    <row r="122" spans="1:2" ht="14.5" x14ac:dyDescent="0.35">
      <c r="A122" s="57"/>
      <c r="B122" s="57"/>
    </row>
    <row r="123" spans="1:2" ht="14.5" x14ac:dyDescent="0.35">
      <c r="A123" s="57"/>
      <c r="B123" s="57"/>
    </row>
    <row r="124" spans="1:2" ht="14.5" x14ac:dyDescent="0.35">
      <c r="A124" s="57"/>
      <c r="B124" s="57"/>
    </row>
    <row r="125" spans="1:2" ht="14.5" x14ac:dyDescent="0.35">
      <c r="A125" s="57"/>
      <c r="B125" s="57"/>
    </row>
    <row r="126" spans="1:2" ht="14.5" x14ac:dyDescent="0.35">
      <c r="A126" s="57"/>
      <c r="B126" s="57"/>
    </row>
    <row r="127" spans="1:2" ht="14.5" x14ac:dyDescent="0.35">
      <c r="A127" s="57"/>
      <c r="B127" s="57"/>
    </row>
    <row r="128" spans="1:2" ht="14.5" x14ac:dyDescent="0.35">
      <c r="A128" s="57"/>
      <c r="B128" s="57"/>
    </row>
    <row r="129" spans="1:2" ht="14.5" x14ac:dyDescent="0.35">
      <c r="A129" s="57"/>
      <c r="B129" s="57"/>
    </row>
    <row r="130" spans="1:2" ht="14.5" x14ac:dyDescent="0.35">
      <c r="A130" s="57"/>
      <c r="B130" s="57"/>
    </row>
    <row r="131" spans="1:2" ht="14.5" x14ac:dyDescent="0.35">
      <c r="A131" s="57"/>
      <c r="B131" s="57"/>
    </row>
    <row r="132" spans="1:2" ht="14.5" x14ac:dyDescent="0.35">
      <c r="A132" s="57"/>
      <c r="B132" s="57"/>
    </row>
    <row r="133" spans="1:2" ht="14.5" x14ac:dyDescent="0.35">
      <c r="A133" s="57"/>
      <c r="B133" s="57"/>
    </row>
    <row r="134" spans="1:2" ht="14.5" x14ac:dyDescent="0.35">
      <c r="A134" s="57"/>
      <c r="B134" s="57"/>
    </row>
    <row r="135" spans="1:2" ht="14.5" x14ac:dyDescent="0.35">
      <c r="A135" s="57"/>
      <c r="B135" s="57"/>
    </row>
    <row r="136" spans="1:2" ht="14.5" x14ac:dyDescent="0.35">
      <c r="A136" s="57"/>
      <c r="B136" s="57"/>
    </row>
    <row r="137" spans="1:2" ht="14.5" x14ac:dyDescent="0.35">
      <c r="A137" s="57"/>
      <c r="B137" s="57"/>
    </row>
    <row r="138" spans="1:2" ht="14.5" x14ac:dyDescent="0.35">
      <c r="A138" s="57"/>
      <c r="B138" s="57"/>
    </row>
    <row r="139" spans="1:2" ht="14.5" x14ac:dyDescent="0.35">
      <c r="A139" s="57"/>
      <c r="B139" s="57"/>
    </row>
    <row r="140" spans="1:2" ht="14.5" x14ac:dyDescent="0.35">
      <c r="A140" s="57"/>
      <c r="B140" s="57"/>
    </row>
    <row r="141" spans="1:2" ht="14.5" x14ac:dyDescent="0.35">
      <c r="A141" s="57"/>
      <c r="B141" s="57"/>
    </row>
    <row r="142" spans="1:2" ht="14.5" x14ac:dyDescent="0.35">
      <c r="A142" s="57"/>
      <c r="B142" s="57"/>
    </row>
    <row r="143" spans="1:2" ht="14.5" x14ac:dyDescent="0.35">
      <c r="A143" s="57"/>
      <c r="B143" s="57"/>
    </row>
    <row r="144" spans="1:2" ht="14.5" x14ac:dyDescent="0.35">
      <c r="A144" s="57"/>
      <c r="B144" s="57"/>
    </row>
    <row r="145" spans="1:2" ht="14.5" x14ac:dyDescent="0.35">
      <c r="A145" s="57"/>
      <c r="B145" s="57"/>
    </row>
    <row r="146" spans="1:2" ht="14.5" x14ac:dyDescent="0.35">
      <c r="A146" s="57"/>
      <c r="B146" s="57"/>
    </row>
    <row r="147" spans="1:2" ht="14.5" x14ac:dyDescent="0.35">
      <c r="A147" s="57"/>
      <c r="B147" s="57"/>
    </row>
    <row r="148" spans="1:2" ht="14.5" x14ac:dyDescent="0.35">
      <c r="A148" s="57"/>
      <c r="B148" s="57"/>
    </row>
    <row r="149" spans="1:2" ht="14.5" x14ac:dyDescent="0.35">
      <c r="A149" s="57"/>
      <c r="B149" s="57"/>
    </row>
    <row r="150" spans="1:2" ht="14.5" x14ac:dyDescent="0.35">
      <c r="A150" s="57"/>
      <c r="B150" s="57"/>
    </row>
    <row r="151" spans="1:2" ht="14.5" x14ac:dyDescent="0.35">
      <c r="A151" s="57"/>
      <c r="B151" s="57"/>
    </row>
    <row r="152" spans="1:2" ht="14.5" x14ac:dyDescent="0.35">
      <c r="A152" s="57"/>
      <c r="B152" s="57"/>
    </row>
    <row r="153" spans="1:2" ht="14.5" x14ac:dyDescent="0.35">
      <c r="A153" s="57"/>
      <c r="B153" s="57"/>
    </row>
    <row r="154" spans="1:2" ht="14.5" x14ac:dyDescent="0.35">
      <c r="A154" s="57"/>
      <c r="B154" s="57"/>
    </row>
    <row r="155" spans="1:2" ht="14.5" x14ac:dyDescent="0.35">
      <c r="A155" s="57"/>
      <c r="B155" s="57"/>
    </row>
    <row r="156" spans="1:2" ht="14.5" x14ac:dyDescent="0.35">
      <c r="A156" s="57"/>
      <c r="B156" s="57"/>
    </row>
    <row r="157" spans="1:2" ht="14.5" x14ac:dyDescent="0.35">
      <c r="A157" s="57"/>
      <c r="B157" s="57"/>
    </row>
    <row r="158" spans="1:2" ht="14.5" x14ac:dyDescent="0.35">
      <c r="A158" s="57"/>
      <c r="B158" s="57"/>
    </row>
    <row r="159" spans="1:2" ht="14.5" x14ac:dyDescent="0.35">
      <c r="A159" s="57"/>
      <c r="B159" s="57"/>
    </row>
    <row r="160" spans="1:2" ht="14.5" x14ac:dyDescent="0.35">
      <c r="A160" s="57"/>
      <c r="B160" s="57"/>
    </row>
    <row r="161" spans="1:2" ht="14.5" x14ac:dyDescent="0.35">
      <c r="A161" s="57"/>
      <c r="B161" s="57"/>
    </row>
    <row r="162" spans="1:2" ht="14.5" x14ac:dyDescent="0.35">
      <c r="A162" s="57"/>
      <c r="B162" s="57"/>
    </row>
    <row r="163" spans="1:2" ht="14.5" x14ac:dyDescent="0.35">
      <c r="A163" s="57"/>
      <c r="B163" s="57"/>
    </row>
    <row r="164" spans="1:2" ht="14.5" x14ac:dyDescent="0.35">
      <c r="A164" s="57"/>
      <c r="B164" s="57"/>
    </row>
    <row r="165" spans="1:2" ht="14.5" x14ac:dyDescent="0.35">
      <c r="A165" s="57"/>
      <c r="B165" s="57"/>
    </row>
    <row r="166" spans="1:2" ht="14.5" x14ac:dyDescent="0.35">
      <c r="A166" s="57"/>
      <c r="B166" s="57"/>
    </row>
    <row r="167" spans="1:2" ht="14.5" x14ac:dyDescent="0.35">
      <c r="A167" s="57"/>
      <c r="B167" s="57"/>
    </row>
    <row r="168" spans="1:2" ht="14.5" x14ac:dyDescent="0.35">
      <c r="A168" s="57"/>
      <c r="B168" s="57"/>
    </row>
    <row r="169" spans="1:2" ht="14.5" x14ac:dyDescent="0.35">
      <c r="A169" s="57"/>
      <c r="B169" s="57"/>
    </row>
    <row r="170" spans="1:2" ht="14.5" x14ac:dyDescent="0.35">
      <c r="A170" s="57"/>
      <c r="B170" s="57"/>
    </row>
    <row r="171" spans="1:2" ht="14.5" x14ac:dyDescent="0.35">
      <c r="A171" s="57"/>
      <c r="B171" s="57"/>
    </row>
    <row r="172" spans="1:2" ht="14.5" x14ac:dyDescent="0.35">
      <c r="A172" s="57"/>
      <c r="B172" s="57"/>
    </row>
    <row r="173" spans="1:2" ht="14.5" x14ac:dyDescent="0.35">
      <c r="A173" s="57"/>
      <c r="B173" s="57"/>
    </row>
    <row r="174" spans="1:2" ht="14.5" x14ac:dyDescent="0.35">
      <c r="A174" s="57"/>
      <c r="B174" s="57"/>
    </row>
    <row r="175" spans="1:2" ht="14.5" x14ac:dyDescent="0.35">
      <c r="A175" s="57"/>
      <c r="B175" s="57"/>
    </row>
    <row r="176" spans="1:2" ht="14.5" x14ac:dyDescent="0.35">
      <c r="A176" s="57"/>
      <c r="B176" s="57"/>
    </row>
    <row r="177" spans="1:2" ht="14.5" x14ac:dyDescent="0.35">
      <c r="A177" s="57"/>
      <c r="B177" s="57"/>
    </row>
    <row r="178" spans="1:2" ht="14.5" x14ac:dyDescent="0.35">
      <c r="A178" s="57"/>
      <c r="B178" s="57"/>
    </row>
    <row r="179" spans="1:2" ht="14.5" x14ac:dyDescent="0.35">
      <c r="A179" s="57"/>
      <c r="B179" s="57"/>
    </row>
    <row r="180" spans="1:2" ht="14.5" x14ac:dyDescent="0.35">
      <c r="A180" s="57"/>
      <c r="B180" s="57"/>
    </row>
    <row r="181" spans="1:2" ht="14.5" x14ac:dyDescent="0.35">
      <c r="A181" s="57"/>
      <c r="B181" s="57"/>
    </row>
    <row r="182" spans="1:2" ht="14.5" x14ac:dyDescent="0.35">
      <c r="A182" s="57"/>
      <c r="B182" s="57"/>
    </row>
    <row r="183" spans="1:2" ht="14.5" x14ac:dyDescent="0.35">
      <c r="A183" s="57"/>
      <c r="B183" s="57"/>
    </row>
    <row r="184" spans="1:2" ht="14.5" x14ac:dyDescent="0.35">
      <c r="A184" s="57"/>
      <c r="B184" s="57"/>
    </row>
    <row r="185" spans="1:2" ht="14.5" x14ac:dyDescent="0.35">
      <c r="A185" s="57"/>
      <c r="B185" s="57"/>
    </row>
    <row r="186" spans="1:2" ht="14.5" x14ac:dyDescent="0.35">
      <c r="A186" s="57"/>
      <c r="B186" s="57"/>
    </row>
    <row r="187" spans="1:2" ht="14.5" x14ac:dyDescent="0.35">
      <c r="A187" s="57"/>
      <c r="B187" s="57"/>
    </row>
    <row r="188" spans="1:2" ht="14.5" x14ac:dyDescent="0.35">
      <c r="A188" s="57"/>
      <c r="B188" s="57"/>
    </row>
    <row r="189" spans="1:2" ht="14.5" x14ac:dyDescent="0.35">
      <c r="A189" s="57"/>
      <c r="B189" s="57"/>
    </row>
    <row r="190" spans="1:2" ht="14.5" x14ac:dyDescent="0.35">
      <c r="A190" s="57"/>
      <c r="B190" s="57"/>
    </row>
    <row r="191" spans="1:2" ht="14.5" x14ac:dyDescent="0.35">
      <c r="A191" s="57"/>
      <c r="B191" s="57"/>
    </row>
    <row r="192" spans="1:2" ht="14.5" x14ac:dyDescent="0.35">
      <c r="A192" s="57"/>
      <c r="B192" s="57"/>
    </row>
    <row r="193" spans="1:2" ht="14.5" x14ac:dyDescent="0.35">
      <c r="A193" s="57"/>
      <c r="B193" s="57"/>
    </row>
    <row r="194" spans="1:2" ht="14.5" x14ac:dyDescent="0.35">
      <c r="A194" s="57"/>
      <c r="B194" s="57"/>
    </row>
    <row r="195" spans="1:2" ht="14.5" x14ac:dyDescent="0.35">
      <c r="A195" s="57"/>
      <c r="B195" s="57"/>
    </row>
    <row r="196" spans="1:2" ht="14.5" x14ac:dyDescent="0.35">
      <c r="A196" s="57"/>
      <c r="B196" s="57"/>
    </row>
    <row r="197" spans="1:2" ht="14.5" x14ac:dyDescent="0.35">
      <c r="A197" s="57"/>
      <c r="B197" s="57"/>
    </row>
    <row r="198" spans="1:2" ht="14.5" x14ac:dyDescent="0.35">
      <c r="A198" s="57"/>
      <c r="B198" s="57"/>
    </row>
    <row r="199" spans="1:2" ht="14.5" x14ac:dyDescent="0.35">
      <c r="A199" s="57"/>
      <c r="B199" s="57"/>
    </row>
    <row r="200" spans="1:2" ht="14.5" x14ac:dyDescent="0.35">
      <c r="A200" s="57"/>
      <c r="B200" s="57"/>
    </row>
    <row r="201" spans="1:2" ht="14.5" x14ac:dyDescent="0.35">
      <c r="A201" s="57"/>
      <c r="B201" s="57"/>
    </row>
    <row r="202" spans="1:2" ht="14.5" x14ac:dyDescent="0.35">
      <c r="A202" s="57"/>
      <c r="B202" s="57"/>
    </row>
    <row r="203" spans="1:2" ht="14.5" x14ac:dyDescent="0.35">
      <c r="A203" s="57"/>
      <c r="B203" s="57"/>
    </row>
    <row r="204" spans="1:2" ht="14.5" x14ac:dyDescent="0.35">
      <c r="A204" s="57"/>
      <c r="B204" s="57"/>
    </row>
    <row r="205" spans="1:2" ht="14.5" x14ac:dyDescent="0.35">
      <c r="A205" s="57"/>
      <c r="B205" s="57"/>
    </row>
    <row r="206" spans="1:2" ht="14.5" x14ac:dyDescent="0.35">
      <c r="A206" s="57"/>
      <c r="B206" s="57"/>
    </row>
    <row r="207" spans="1:2" ht="14.5" x14ac:dyDescent="0.35">
      <c r="A207" s="57"/>
      <c r="B207" s="57"/>
    </row>
    <row r="208" spans="1:2" ht="14.5" x14ac:dyDescent="0.35">
      <c r="A208" s="57"/>
      <c r="B208" s="57"/>
    </row>
    <row r="209" spans="1:2" ht="14.5" x14ac:dyDescent="0.35">
      <c r="A209" s="57"/>
      <c r="B209" s="57"/>
    </row>
    <row r="210" spans="1:2" ht="14.5" x14ac:dyDescent="0.35">
      <c r="A210" s="57"/>
      <c r="B210" s="57"/>
    </row>
    <row r="211" spans="1:2" ht="14.5" x14ac:dyDescent="0.35">
      <c r="A211" s="57"/>
      <c r="B211" s="57"/>
    </row>
    <row r="212" spans="1:2" ht="14.5" x14ac:dyDescent="0.35">
      <c r="A212" s="57"/>
      <c r="B212" s="57"/>
    </row>
    <row r="213" spans="1:2" ht="14.5" x14ac:dyDescent="0.35">
      <c r="A213" s="57"/>
      <c r="B213" s="57"/>
    </row>
    <row r="214" spans="1:2" ht="14.5" x14ac:dyDescent="0.35">
      <c r="A214" s="57"/>
      <c r="B214" s="57"/>
    </row>
    <row r="215" spans="1:2" ht="14.5" x14ac:dyDescent="0.35">
      <c r="A215" s="57"/>
      <c r="B215" s="57"/>
    </row>
    <row r="216" spans="1:2" ht="14.5" x14ac:dyDescent="0.35">
      <c r="A216" s="57"/>
      <c r="B216" s="57"/>
    </row>
    <row r="217" spans="1:2" ht="14.5" x14ac:dyDescent="0.35">
      <c r="A217" s="57"/>
      <c r="B217" s="57"/>
    </row>
    <row r="218" spans="1:2" ht="14.5" x14ac:dyDescent="0.35">
      <c r="A218" s="57"/>
      <c r="B218" s="57"/>
    </row>
    <row r="219" spans="1:2" ht="14.5" x14ac:dyDescent="0.35">
      <c r="A219" s="57"/>
      <c r="B219" s="57"/>
    </row>
    <row r="220" spans="1:2" ht="14.5" x14ac:dyDescent="0.35">
      <c r="A220" s="57"/>
      <c r="B220" s="57"/>
    </row>
    <row r="221" spans="1:2" ht="14.5" x14ac:dyDescent="0.35">
      <c r="A221" s="57"/>
      <c r="B221" s="57"/>
    </row>
    <row r="222" spans="1:2" ht="14.5" x14ac:dyDescent="0.35">
      <c r="A222" s="57"/>
      <c r="B222" s="57"/>
    </row>
    <row r="223" spans="1:2" ht="14.5" x14ac:dyDescent="0.35">
      <c r="A223" s="57"/>
      <c r="B223" s="57"/>
    </row>
    <row r="224" spans="1:2" ht="14.5" x14ac:dyDescent="0.35">
      <c r="A224" s="57"/>
      <c r="B224" s="57"/>
    </row>
    <row r="225" spans="1:2" ht="14.5" x14ac:dyDescent="0.35">
      <c r="A225" s="57"/>
      <c r="B225" s="57"/>
    </row>
    <row r="226" spans="1:2" ht="14.5" x14ac:dyDescent="0.35">
      <c r="A226" s="57"/>
      <c r="B226" s="57"/>
    </row>
    <row r="227" spans="1:2" ht="14.5" x14ac:dyDescent="0.35">
      <c r="A227" s="57"/>
      <c r="B227" s="57"/>
    </row>
    <row r="228" spans="1:2" ht="14.5" x14ac:dyDescent="0.35">
      <c r="A228" s="57"/>
      <c r="B228" s="57"/>
    </row>
    <row r="229" spans="1:2" ht="14.5" x14ac:dyDescent="0.35">
      <c r="A229" s="57"/>
      <c r="B229" s="57"/>
    </row>
    <row r="230" spans="1:2" ht="14.5" x14ac:dyDescent="0.35">
      <c r="A230" s="57"/>
      <c r="B230" s="57"/>
    </row>
    <row r="231" spans="1:2" ht="14.5" x14ac:dyDescent="0.35">
      <c r="A231" s="57"/>
      <c r="B231" s="57"/>
    </row>
    <row r="232" spans="1:2" ht="14.5" x14ac:dyDescent="0.35">
      <c r="A232" s="57"/>
      <c r="B232" s="57"/>
    </row>
    <row r="233" spans="1:2" ht="14.5" x14ac:dyDescent="0.35">
      <c r="A233" s="57"/>
      <c r="B233" s="57"/>
    </row>
    <row r="234" spans="1:2" ht="14.5" x14ac:dyDescent="0.35">
      <c r="A234" s="57"/>
      <c r="B234" s="57"/>
    </row>
    <row r="235" spans="1:2" ht="14.5" x14ac:dyDescent="0.35">
      <c r="A235" s="57"/>
      <c r="B235" s="57"/>
    </row>
    <row r="236" spans="1:2" ht="14.5" x14ac:dyDescent="0.35">
      <c r="A236" s="57"/>
      <c r="B236" s="57"/>
    </row>
    <row r="237" spans="1:2" ht="14.5" x14ac:dyDescent="0.35">
      <c r="A237" s="57"/>
      <c r="B237" s="57"/>
    </row>
    <row r="238" spans="1:2" ht="14.5" x14ac:dyDescent="0.35">
      <c r="A238" s="57"/>
      <c r="B238" s="57"/>
    </row>
    <row r="239" spans="1:2" ht="14.5" x14ac:dyDescent="0.35">
      <c r="A239" s="57"/>
      <c r="B239" s="57"/>
    </row>
    <row r="240" spans="1:2" ht="14.5" x14ac:dyDescent="0.35">
      <c r="A240" s="57"/>
      <c r="B240" s="57"/>
    </row>
    <row r="241" spans="1:2" ht="14.5" x14ac:dyDescent="0.35">
      <c r="A241" s="57"/>
      <c r="B241" s="57"/>
    </row>
    <row r="242" spans="1:2" ht="14.5" x14ac:dyDescent="0.35">
      <c r="A242" s="57"/>
      <c r="B242" s="57"/>
    </row>
    <row r="243" spans="1:2" ht="14.5" x14ac:dyDescent="0.35">
      <c r="A243" s="57"/>
      <c r="B243" s="57"/>
    </row>
    <row r="244" spans="1:2" ht="14.5" x14ac:dyDescent="0.35">
      <c r="A244" s="57"/>
      <c r="B244" s="57"/>
    </row>
    <row r="245" spans="1:2" ht="14.5" x14ac:dyDescent="0.35">
      <c r="A245" s="57"/>
      <c r="B245" s="57"/>
    </row>
    <row r="246" spans="1:2" ht="14.5" x14ac:dyDescent="0.35">
      <c r="A246" s="57"/>
      <c r="B246" s="57"/>
    </row>
    <row r="247" spans="1:2" ht="14.5" x14ac:dyDescent="0.35">
      <c r="A247" s="57"/>
      <c r="B247" s="57"/>
    </row>
    <row r="248" spans="1:2" ht="14.5" x14ac:dyDescent="0.35">
      <c r="A248" s="57"/>
      <c r="B248" s="57"/>
    </row>
    <row r="249" spans="1:2" ht="14.5" x14ac:dyDescent="0.35">
      <c r="A249" s="57"/>
      <c r="B249" s="57"/>
    </row>
    <row r="250" spans="1:2" ht="14.5" x14ac:dyDescent="0.35">
      <c r="A250" s="57"/>
      <c r="B250" s="57"/>
    </row>
    <row r="251" spans="1:2" ht="14.5" x14ac:dyDescent="0.35">
      <c r="A251" s="57"/>
      <c r="B251" s="57"/>
    </row>
    <row r="252" spans="1:2" ht="14.5" x14ac:dyDescent="0.35">
      <c r="A252" s="57"/>
      <c r="B252" s="57"/>
    </row>
    <row r="253" spans="1:2" ht="14.5" x14ac:dyDescent="0.35">
      <c r="A253" s="57"/>
      <c r="B253" s="57"/>
    </row>
    <row r="254" spans="1:2" ht="14.5" x14ac:dyDescent="0.35">
      <c r="A254" s="57"/>
      <c r="B254" s="57"/>
    </row>
    <row r="255" spans="1:2" ht="14.5" x14ac:dyDescent="0.35">
      <c r="A255" s="57"/>
      <c r="B255" s="57"/>
    </row>
    <row r="256" spans="1:2" ht="14.5" x14ac:dyDescent="0.35">
      <c r="A256" s="57"/>
      <c r="B256" s="57"/>
    </row>
    <row r="257" spans="1:2" ht="14.5" x14ac:dyDescent="0.35">
      <c r="A257" s="57"/>
      <c r="B257" s="57"/>
    </row>
    <row r="258" spans="1:2" ht="14.5" x14ac:dyDescent="0.35">
      <c r="A258" s="57"/>
      <c r="B258" s="57"/>
    </row>
    <row r="259" spans="1:2" ht="14.5" x14ac:dyDescent="0.35">
      <c r="A259" s="57"/>
      <c r="B259" s="57"/>
    </row>
    <row r="260" spans="1:2" ht="14.5" x14ac:dyDescent="0.35">
      <c r="A260" s="57"/>
      <c r="B260" s="57"/>
    </row>
    <row r="261" spans="1:2" ht="14.5" x14ac:dyDescent="0.35">
      <c r="A261" s="57"/>
      <c r="B261" s="57"/>
    </row>
    <row r="262" spans="1:2" ht="14.5" x14ac:dyDescent="0.35">
      <c r="A262" s="57"/>
      <c r="B262" s="57"/>
    </row>
    <row r="263" spans="1:2" ht="14.5" x14ac:dyDescent="0.35">
      <c r="A263" s="57"/>
      <c r="B263" s="57"/>
    </row>
    <row r="264" spans="1:2" ht="14.5" x14ac:dyDescent="0.35">
      <c r="A264" s="57"/>
      <c r="B264" s="57"/>
    </row>
    <row r="265" spans="1:2" ht="14.5" x14ac:dyDescent="0.35">
      <c r="A265" s="57"/>
      <c r="B265" s="57"/>
    </row>
    <row r="266" spans="1:2" ht="14.5" x14ac:dyDescent="0.35">
      <c r="A266" s="57"/>
      <c r="B266" s="57"/>
    </row>
    <row r="267" spans="1:2" ht="14.5" x14ac:dyDescent="0.35">
      <c r="A267" s="57"/>
      <c r="B267" s="57"/>
    </row>
    <row r="268" spans="1:2" ht="14.5" x14ac:dyDescent="0.35">
      <c r="A268" s="57"/>
      <c r="B268" s="57"/>
    </row>
    <row r="269" spans="1:2" ht="14.5" x14ac:dyDescent="0.35">
      <c r="A269" s="57"/>
      <c r="B269" s="57"/>
    </row>
    <row r="270" spans="1:2" ht="14.5" x14ac:dyDescent="0.35">
      <c r="A270" s="57"/>
      <c r="B270" s="57"/>
    </row>
    <row r="271" spans="1:2" ht="14.5" x14ac:dyDescent="0.35">
      <c r="A271" s="57"/>
      <c r="B271" s="57"/>
    </row>
    <row r="272" spans="1:2" ht="14.5" x14ac:dyDescent="0.35">
      <c r="A272" s="57"/>
      <c r="B272" s="57"/>
    </row>
    <row r="273" spans="1:2" ht="14.5" x14ac:dyDescent="0.35">
      <c r="A273" s="57"/>
      <c r="B273" s="57"/>
    </row>
    <row r="274" spans="1:2" ht="14.5" x14ac:dyDescent="0.35">
      <c r="A274" s="57"/>
      <c r="B274" s="57"/>
    </row>
    <row r="275" spans="1:2" ht="14.5" x14ac:dyDescent="0.35">
      <c r="A275" s="57"/>
      <c r="B275" s="57"/>
    </row>
    <row r="276" spans="1:2" ht="14.5" x14ac:dyDescent="0.35">
      <c r="A276" s="57"/>
      <c r="B276" s="57"/>
    </row>
    <row r="277" spans="1:2" ht="14.5" x14ac:dyDescent="0.35">
      <c r="A277" s="57"/>
      <c r="B277" s="57"/>
    </row>
    <row r="278" spans="1:2" ht="14.5" x14ac:dyDescent="0.35">
      <c r="A278" s="57"/>
      <c r="B278" s="57"/>
    </row>
    <row r="279" spans="1:2" ht="14.5" x14ac:dyDescent="0.35">
      <c r="A279" s="57"/>
      <c r="B279" s="57"/>
    </row>
    <row r="280" spans="1:2" ht="14.5" x14ac:dyDescent="0.35">
      <c r="A280" s="57"/>
      <c r="B280" s="57"/>
    </row>
    <row r="281" spans="1:2" ht="14.5" x14ac:dyDescent="0.35">
      <c r="A281" s="57"/>
      <c r="B281" s="57"/>
    </row>
    <row r="282" spans="1:2" ht="14.5" x14ac:dyDescent="0.35">
      <c r="A282" s="57"/>
      <c r="B282" s="57"/>
    </row>
    <row r="283" spans="1:2" ht="14.5" x14ac:dyDescent="0.35">
      <c r="A283" s="57"/>
      <c r="B283" s="57"/>
    </row>
    <row r="284" spans="1:2" ht="14.5" x14ac:dyDescent="0.35">
      <c r="A284" s="57"/>
      <c r="B284" s="57"/>
    </row>
    <row r="285" spans="1:2" ht="14.5" x14ac:dyDescent="0.35">
      <c r="A285" s="57"/>
      <c r="B285" s="57"/>
    </row>
    <row r="286" spans="1:2" ht="14.5" x14ac:dyDescent="0.35">
      <c r="A286" s="57"/>
      <c r="B286" s="57"/>
    </row>
    <row r="287" spans="1:2" ht="14.5" x14ac:dyDescent="0.35">
      <c r="A287" s="57"/>
      <c r="B287" s="57"/>
    </row>
    <row r="288" spans="1:2" ht="14.5" x14ac:dyDescent="0.35">
      <c r="A288" s="57"/>
      <c r="B288" s="57"/>
    </row>
    <row r="289" spans="1:2" ht="14.5" x14ac:dyDescent="0.35">
      <c r="A289" s="57"/>
      <c r="B289" s="57"/>
    </row>
    <row r="290" spans="1:2" ht="14.5" x14ac:dyDescent="0.35">
      <c r="A290" s="57"/>
      <c r="B290" s="57"/>
    </row>
    <row r="291" spans="1:2" ht="14.5" x14ac:dyDescent="0.35">
      <c r="A291" s="57"/>
      <c r="B291" s="57"/>
    </row>
    <row r="292" spans="1:2" ht="14.5" x14ac:dyDescent="0.35">
      <c r="A292" s="57"/>
      <c r="B292" s="57"/>
    </row>
    <row r="293" spans="1:2" ht="14.5" x14ac:dyDescent="0.35">
      <c r="A293" s="57"/>
      <c r="B293" s="57"/>
    </row>
    <row r="294" spans="1:2" ht="14.5" x14ac:dyDescent="0.35">
      <c r="A294" s="57"/>
      <c r="B294" s="57"/>
    </row>
    <row r="295" spans="1:2" ht="14.5" x14ac:dyDescent="0.35">
      <c r="A295" s="57"/>
      <c r="B295" s="57"/>
    </row>
    <row r="296" spans="1:2" ht="14.5" x14ac:dyDescent="0.35">
      <c r="A296" s="57"/>
      <c r="B296" s="57"/>
    </row>
    <row r="297" spans="1:2" ht="14.5" x14ac:dyDescent="0.35">
      <c r="A297" s="57"/>
      <c r="B297" s="57"/>
    </row>
    <row r="298" spans="1:2" ht="14.5" x14ac:dyDescent="0.35">
      <c r="A298" s="57"/>
      <c r="B298" s="57"/>
    </row>
    <row r="299" spans="1:2" ht="14.5" x14ac:dyDescent="0.35">
      <c r="A299" s="57"/>
      <c r="B299" s="57"/>
    </row>
    <row r="300" spans="1:2" ht="14.5" x14ac:dyDescent="0.35">
      <c r="A300" s="57"/>
      <c r="B300" s="57"/>
    </row>
    <row r="301" spans="1:2" ht="14.5" x14ac:dyDescent="0.35">
      <c r="A301" s="57"/>
      <c r="B301" s="57"/>
    </row>
    <row r="302" spans="1:2" ht="14.5" x14ac:dyDescent="0.35">
      <c r="A302" s="57"/>
      <c r="B302" s="57"/>
    </row>
    <row r="303" spans="1:2" ht="14.5" x14ac:dyDescent="0.35">
      <c r="A303" s="57"/>
      <c r="B303" s="57"/>
    </row>
    <row r="304" spans="1:2" ht="14.5" x14ac:dyDescent="0.35">
      <c r="A304" s="57"/>
      <c r="B304" s="57"/>
    </row>
    <row r="305" spans="1:2" ht="14.5" x14ac:dyDescent="0.35">
      <c r="A305" s="57"/>
      <c r="B305" s="57"/>
    </row>
    <row r="306" spans="1:2" ht="14.5" x14ac:dyDescent="0.35">
      <c r="A306" s="57"/>
      <c r="B306" s="57"/>
    </row>
    <row r="307" spans="1:2" ht="14.5" x14ac:dyDescent="0.35">
      <c r="A307" s="57"/>
      <c r="B307" s="57"/>
    </row>
    <row r="308" spans="1:2" ht="14.5" x14ac:dyDescent="0.35">
      <c r="A308" s="57"/>
      <c r="B308" s="57"/>
    </row>
    <row r="309" spans="1:2" ht="14.5" x14ac:dyDescent="0.35">
      <c r="A309" s="57"/>
      <c r="B309" s="57"/>
    </row>
    <row r="310" spans="1:2" ht="14.5" x14ac:dyDescent="0.35">
      <c r="A310" s="57"/>
      <c r="B310" s="57"/>
    </row>
    <row r="311" spans="1:2" ht="14.5" x14ac:dyDescent="0.35">
      <c r="A311" s="57"/>
      <c r="B311" s="57"/>
    </row>
    <row r="312" spans="1:2" ht="14.5" x14ac:dyDescent="0.35">
      <c r="A312" s="57"/>
      <c r="B312" s="57"/>
    </row>
    <row r="313" spans="1:2" ht="14.5" x14ac:dyDescent="0.35">
      <c r="A313" s="57"/>
      <c r="B313" s="57"/>
    </row>
    <row r="314" spans="1:2" ht="14.5" x14ac:dyDescent="0.35">
      <c r="A314" s="57"/>
      <c r="B314" s="57"/>
    </row>
    <row r="315" spans="1:2" ht="14.5" x14ac:dyDescent="0.35">
      <c r="A315" s="57"/>
      <c r="B315" s="57"/>
    </row>
    <row r="316" spans="1:2" ht="14.5" x14ac:dyDescent="0.35">
      <c r="A316" s="57"/>
      <c r="B316" s="57"/>
    </row>
    <row r="317" spans="1:2" ht="14.5" x14ac:dyDescent="0.35">
      <c r="A317" s="57"/>
      <c r="B317" s="57"/>
    </row>
    <row r="318" spans="1:2" ht="14.5" x14ac:dyDescent="0.35">
      <c r="A318" s="57"/>
      <c r="B318" s="57"/>
    </row>
    <row r="319" spans="1:2" ht="14.5" x14ac:dyDescent="0.35">
      <c r="A319" s="57"/>
      <c r="B319" s="57"/>
    </row>
    <row r="320" spans="1:2" ht="14.5" x14ac:dyDescent="0.35">
      <c r="A320" s="57"/>
      <c r="B320" s="57"/>
    </row>
    <row r="321" spans="1:2" ht="14.5" x14ac:dyDescent="0.35">
      <c r="A321" s="57"/>
      <c r="B321" s="57"/>
    </row>
    <row r="322" spans="1:2" ht="14.5" x14ac:dyDescent="0.35">
      <c r="A322" s="57"/>
      <c r="B322" s="57"/>
    </row>
    <row r="323" spans="1:2" ht="14.5" x14ac:dyDescent="0.35">
      <c r="A323" s="57"/>
      <c r="B323" s="57"/>
    </row>
    <row r="324" spans="1:2" ht="14.5" x14ac:dyDescent="0.35">
      <c r="A324" s="57"/>
      <c r="B324" s="57"/>
    </row>
    <row r="325" spans="1:2" ht="14.5" x14ac:dyDescent="0.35">
      <c r="A325" s="57"/>
      <c r="B325" s="57"/>
    </row>
    <row r="326" spans="1:2" ht="14.5" x14ac:dyDescent="0.35">
      <c r="A326" s="57"/>
      <c r="B326" s="57"/>
    </row>
    <row r="327" spans="1:2" ht="14.5" x14ac:dyDescent="0.35">
      <c r="A327" s="57"/>
      <c r="B327" s="57"/>
    </row>
    <row r="328" spans="1:2" ht="14.5" x14ac:dyDescent="0.35">
      <c r="A328" s="57"/>
      <c r="B328" s="57"/>
    </row>
    <row r="329" spans="1:2" ht="14.5" x14ac:dyDescent="0.35">
      <c r="A329" s="57"/>
      <c r="B329" s="57"/>
    </row>
    <row r="330" spans="1:2" ht="14.5" x14ac:dyDescent="0.35">
      <c r="A330" s="57"/>
      <c r="B330" s="57"/>
    </row>
    <row r="331" spans="1:2" ht="14.5" x14ac:dyDescent="0.35">
      <c r="A331" s="57"/>
      <c r="B331" s="57"/>
    </row>
    <row r="332" spans="1:2" ht="14.5" x14ac:dyDescent="0.35">
      <c r="A332" s="57"/>
      <c r="B332" s="57"/>
    </row>
    <row r="333" spans="1:2" ht="14.5" x14ac:dyDescent="0.35">
      <c r="A333" s="57"/>
      <c r="B333" s="57"/>
    </row>
    <row r="334" spans="1:2" ht="14.5" x14ac:dyDescent="0.35">
      <c r="A334" s="57"/>
      <c r="B334" s="57"/>
    </row>
    <row r="335" spans="1:2" ht="14.5" x14ac:dyDescent="0.35">
      <c r="A335" s="57"/>
      <c r="B335" s="57"/>
    </row>
    <row r="336" spans="1:2" ht="14.5" x14ac:dyDescent="0.35">
      <c r="A336" s="57"/>
      <c r="B336" s="57"/>
    </row>
    <row r="337" spans="1:2" ht="14.5" x14ac:dyDescent="0.35">
      <c r="A337" s="57"/>
      <c r="B337" s="57"/>
    </row>
    <row r="338" spans="1:2" ht="14.5" x14ac:dyDescent="0.35">
      <c r="A338" s="57"/>
      <c r="B338" s="57"/>
    </row>
    <row r="339" spans="1:2" ht="14.5" x14ac:dyDescent="0.35">
      <c r="A339" s="57"/>
      <c r="B339" s="57"/>
    </row>
    <row r="340" spans="1:2" ht="14.5" x14ac:dyDescent="0.35">
      <c r="A340" s="57"/>
      <c r="B340" s="57"/>
    </row>
    <row r="341" spans="1:2" ht="14.5" x14ac:dyDescent="0.35">
      <c r="A341" s="57"/>
      <c r="B341" s="57"/>
    </row>
    <row r="342" spans="1:2" ht="14.5" x14ac:dyDescent="0.35">
      <c r="A342" s="57"/>
      <c r="B342" s="57"/>
    </row>
    <row r="343" spans="1:2" ht="14.5" x14ac:dyDescent="0.35">
      <c r="A343" s="57"/>
      <c r="B343" s="57"/>
    </row>
    <row r="344" spans="1:2" ht="14.5" x14ac:dyDescent="0.35">
      <c r="A344" s="57"/>
      <c r="B344" s="57"/>
    </row>
    <row r="345" spans="1:2" ht="14.5" x14ac:dyDescent="0.35">
      <c r="A345" s="57"/>
      <c r="B345" s="57"/>
    </row>
    <row r="346" spans="1:2" ht="14.5" x14ac:dyDescent="0.35">
      <c r="A346" s="57"/>
      <c r="B346" s="57"/>
    </row>
    <row r="347" spans="1:2" ht="14.5" x14ac:dyDescent="0.35">
      <c r="A347" s="57"/>
      <c r="B347" s="57"/>
    </row>
    <row r="348" spans="1:2" ht="14.5" x14ac:dyDescent="0.35">
      <c r="A348" s="57"/>
      <c r="B348" s="57"/>
    </row>
    <row r="349" spans="1:2" ht="14.5" x14ac:dyDescent="0.35">
      <c r="A349" s="57"/>
      <c r="B349" s="57"/>
    </row>
    <row r="350" spans="1:2" ht="14.5" x14ac:dyDescent="0.35">
      <c r="A350" s="57"/>
      <c r="B350" s="57"/>
    </row>
    <row r="351" spans="1:2" ht="14.5" x14ac:dyDescent="0.35">
      <c r="A351" s="57"/>
      <c r="B351" s="57"/>
    </row>
    <row r="352" spans="1:2" ht="14.5" x14ac:dyDescent="0.35">
      <c r="A352" s="57"/>
      <c r="B352" s="57"/>
    </row>
    <row r="353" spans="1:2" ht="14.5" x14ac:dyDescent="0.35">
      <c r="A353" s="57"/>
      <c r="B353" s="57"/>
    </row>
    <row r="354" spans="1:2" ht="14.5" x14ac:dyDescent="0.35">
      <c r="A354" s="57"/>
      <c r="B354" s="57"/>
    </row>
    <row r="355" spans="1:2" ht="14.5" x14ac:dyDescent="0.35">
      <c r="A355" s="57"/>
      <c r="B355" s="57"/>
    </row>
    <row r="356" spans="1:2" ht="14.5" x14ac:dyDescent="0.35">
      <c r="A356" s="57"/>
      <c r="B356" s="57"/>
    </row>
    <row r="357" spans="1:2" ht="14.5" x14ac:dyDescent="0.35">
      <c r="A357" s="57"/>
      <c r="B357" s="57"/>
    </row>
    <row r="358" spans="1:2" ht="14.5" x14ac:dyDescent="0.35">
      <c r="A358" s="57"/>
      <c r="B358" s="57"/>
    </row>
    <row r="359" spans="1:2" ht="14.5" x14ac:dyDescent="0.35">
      <c r="A359" s="57"/>
      <c r="B359" s="57"/>
    </row>
    <row r="360" spans="1:2" ht="14.5" x14ac:dyDescent="0.35">
      <c r="A360" s="57"/>
      <c r="B360" s="57"/>
    </row>
    <row r="361" spans="1:2" ht="14.5" x14ac:dyDescent="0.35">
      <c r="A361" s="57"/>
      <c r="B361" s="57"/>
    </row>
    <row r="362" spans="1:2" ht="14.5" x14ac:dyDescent="0.35">
      <c r="A362" s="57"/>
      <c r="B362" s="57"/>
    </row>
    <row r="363" spans="1:2" ht="14.5" x14ac:dyDescent="0.35">
      <c r="A363" s="57"/>
      <c r="B363" s="57"/>
    </row>
    <row r="364" spans="1:2" ht="14.5" x14ac:dyDescent="0.35">
      <c r="A364" s="57"/>
      <c r="B364" s="57"/>
    </row>
    <row r="365" spans="1:2" ht="14.5" x14ac:dyDescent="0.35">
      <c r="A365" s="57"/>
      <c r="B365" s="57"/>
    </row>
    <row r="366" spans="1:2" ht="14.5" x14ac:dyDescent="0.35">
      <c r="A366" s="57"/>
      <c r="B366" s="57"/>
    </row>
    <row r="367" spans="1:2" ht="14.5" x14ac:dyDescent="0.35">
      <c r="A367" s="57"/>
      <c r="B367" s="57"/>
    </row>
    <row r="368" spans="1:2" ht="14.5" x14ac:dyDescent="0.35">
      <c r="A368" s="57"/>
      <c r="B368" s="57"/>
    </row>
    <row r="369" spans="1:2" ht="14.5" x14ac:dyDescent="0.35">
      <c r="A369" s="57"/>
      <c r="B369" s="57"/>
    </row>
    <row r="370" spans="1:2" ht="14.5" x14ac:dyDescent="0.35">
      <c r="A370" s="57"/>
      <c r="B370" s="57"/>
    </row>
    <row r="371" spans="1:2" ht="14.5" x14ac:dyDescent="0.35">
      <c r="A371" s="57"/>
      <c r="B371" s="57"/>
    </row>
    <row r="372" spans="1:2" ht="14.5" x14ac:dyDescent="0.35">
      <c r="A372" s="57"/>
      <c r="B372" s="57"/>
    </row>
    <row r="373" spans="1:2" ht="14.5" x14ac:dyDescent="0.35">
      <c r="A373" s="57"/>
      <c r="B373" s="57"/>
    </row>
    <row r="374" spans="1:2" ht="14.5" x14ac:dyDescent="0.35">
      <c r="A374" s="57"/>
      <c r="B374" s="57"/>
    </row>
    <row r="375" spans="1:2" ht="14.5" x14ac:dyDescent="0.35">
      <c r="A375" s="57"/>
      <c r="B375" s="57"/>
    </row>
    <row r="376" spans="1:2" ht="14.5" x14ac:dyDescent="0.35">
      <c r="A376" s="57"/>
      <c r="B376" s="57"/>
    </row>
    <row r="377" spans="1:2" ht="14.5" x14ac:dyDescent="0.35">
      <c r="A377" s="57"/>
      <c r="B377" s="57"/>
    </row>
    <row r="378" spans="1:2" ht="14.5" x14ac:dyDescent="0.35">
      <c r="A378" s="57"/>
      <c r="B378" s="57"/>
    </row>
    <row r="379" spans="1:2" ht="14.5" x14ac:dyDescent="0.35">
      <c r="A379" s="57"/>
      <c r="B379" s="57"/>
    </row>
    <row r="380" spans="1:2" ht="14.5" x14ac:dyDescent="0.35">
      <c r="A380" s="57"/>
      <c r="B380" s="57"/>
    </row>
    <row r="381" spans="1:2" ht="14.5" x14ac:dyDescent="0.35">
      <c r="A381" s="57"/>
      <c r="B381" s="57"/>
    </row>
    <row r="382" spans="1:2" ht="14.5" x14ac:dyDescent="0.35">
      <c r="A382" s="57"/>
      <c r="B382" s="57"/>
    </row>
    <row r="383" spans="1:2" ht="14.5" x14ac:dyDescent="0.35">
      <c r="A383" s="57"/>
      <c r="B383" s="57"/>
    </row>
    <row r="384" spans="1:2" ht="14.5" x14ac:dyDescent="0.35">
      <c r="A384" s="57"/>
      <c r="B384" s="57"/>
    </row>
    <row r="385" spans="1:2" ht="14.5" x14ac:dyDescent="0.35">
      <c r="A385" s="57"/>
      <c r="B385" s="57"/>
    </row>
    <row r="386" spans="1:2" ht="14.5" x14ac:dyDescent="0.35">
      <c r="A386" s="57"/>
      <c r="B386" s="57"/>
    </row>
    <row r="387" spans="1:2" ht="14.5" x14ac:dyDescent="0.35">
      <c r="A387" s="57"/>
      <c r="B387" s="57"/>
    </row>
    <row r="388" spans="1:2" ht="14.5" x14ac:dyDescent="0.35">
      <c r="A388" s="57"/>
      <c r="B388" s="57"/>
    </row>
    <row r="389" spans="1:2" ht="14.5" x14ac:dyDescent="0.35">
      <c r="A389" s="57"/>
      <c r="B389" s="57"/>
    </row>
    <row r="390" spans="1:2" ht="14.5" x14ac:dyDescent="0.35">
      <c r="A390" s="57"/>
      <c r="B390" s="57"/>
    </row>
    <row r="391" spans="1:2" ht="14.5" x14ac:dyDescent="0.35">
      <c r="A391" s="57"/>
      <c r="B391" s="57"/>
    </row>
    <row r="392" spans="1:2" ht="14.5" x14ac:dyDescent="0.35">
      <c r="A392" s="57"/>
      <c r="B392" s="57"/>
    </row>
    <row r="393" spans="1:2" ht="14.5" x14ac:dyDescent="0.35">
      <c r="A393" s="57"/>
      <c r="B393" s="57"/>
    </row>
    <row r="394" spans="1:2" ht="14.5" x14ac:dyDescent="0.35">
      <c r="A394" s="57"/>
      <c r="B394" s="57"/>
    </row>
    <row r="395" spans="1:2" ht="14.5" x14ac:dyDescent="0.35">
      <c r="A395" s="57"/>
      <c r="B395" s="57"/>
    </row>
    <row r="396" spans="1:2" ht="14.5" x14ac:dyDescent="0.35">
      <c r="A396" s="57"/>
      <c r="B396" s="57"/>
    </row>
    <row r="397" spans="1:2" ht="14.5" x14ac:dyDescent="0.35">
      <c r="A397" s="57"/>
      <c r="B397" s="57"/>
    </row>
    <row r="398" spans="1:2" ht="14.5" x14ac:dyDescent="0.35">
      <c r="A398" s="57"/>
      <c r="B398" s="57"/>
    </row>
    <row r="399" spans="1:2" ht="14.5" x14ac:dyDescent="0.35">
      <c r="A399" s="57"/>
      <c r="B399" s="57"/>
    </row>
    <row r="400" spans="1:2" ht="14.5" x14ac:dyDescent="0.35">
      <c r="A400" s="57"/>
      <c r="B400" s="57"/>
    </row>
    <row r="401" spans="1:2" ht="14.5" x14ac:dyDescent="0.35">
      <c r="A401" s="57"/>
      <c r="B401" s="57"/>
    </row>
    <row r="402" spans="1:2" ht="14.5" x14ac:dyDescent="0.35">
      <c r="A402" s="57"/>
      <c r="B402" s="57"/>
    </row>
    <row r="403" spans="1:2" ht="14.5" x14ac:dyDescent="0.35">
      <c r="A403" s="57"/>
      <c r="B403" s="57"/>
    </row>
    <row r="404" spans="1:2" ht="14.5" x14ac:dyDescent="0.35">
      <c r="A404" s="57"/>
      <c r="B404" s="57"/>
    </row>
    <row r="405" spans="1:2" ht="14.5" x14ac:dyDescent="0.35">
      <c r="A405" s="57"/>
      <c r="B405" s="57"/>
    </row>
    <row r="406" spans="1:2" ht="14.5" x14ac:dyDescent="0.35">
      <c r="A406" s="57"/>
      <c r="B406" s="57"/>
    </row>
    <row r="407" spans="1:2" ht="14.5" x14ac:dyDescent="0.35">
      <c r="A407" s="57"/>
      <c r="B407" s="57"/>
    </row>
    <row r="408" spans="1:2" ht="14.5" x14ac:dyDescent="0.35">
      <c r="A408" s="57"/>
      <c r="B408" s="57"/>
    </row>
    <row r="409" spans="1:2" ht="14.5" x14ac:dyDescent="0.35">
      <c r="A409" s="57"/>
      <c r="B409" s="57"/>
    </row>
    <row r="410" spans="1:2" ht="14.5" x14ac:dyDescent="0.35">
      <c r="A410" s="57"/>
      <c r="B410" s="57"/>
    </row>
    <row r="411" spans="1:2" ht="14.5" x14ac:dyDescent="0.35">
      <c r="A411" s="57"/>
      <c r="B411" s="57"/>
    </row>
    <row r="412" spans="1:2" ht="14.5" x14ac:dyDescent="0.35">
      <c r="A412" s="57"/>
      <c r="B412" s="57"/>
    </row>
    <row r="413" spans="1:2" ht="14.5" x14ac:dyDescent="0.35">
      <c r="A413" s="57"/>
      <c r="B413" s="57"/>
    </row>
    <row r="414" spans="1:2" ht="14.5" x14ac:dyDescent="0.35">
      <c r="A414" s="57"/>
      <c r="B414" s="57"/>
    </row>
    <row r="415" spans="1:2" ht="14.5" x14ac:dyDescent="0.35">
      <c r="A415" s="57"/>
      <c r="B415" s="57"/>
    </row>
    <row r="416" spans="1:2" ht="14.5" x14ac:dyDescent="0.35">
      <c r="A416" s="57"/>
      <c r="B416" s="57"/>
    </row>
    <row r="417" spans="1:2" ht="14.5" x14ac:dyDescent="0.35">
      <c r="A417" s="57"/>
      <c r="B417" s="57"/>
    </row>
    <row r="418" spans="1:2" ht="14.5" x14ac:dyDescent="0.35">
      <c r="A418" s="57"/>
      <c r="B418" s="57"/>
    </row>
    <row r="419" spans="1:2" ht="14.5" x14ac:dyDescent="0.35">
      <c r="A419" s="57"/>
      <c r="B419" s="57"/>
    </row>
    <row r="420" spans="1:2" ht="14.5" x14ac:dyDescent="0.35">
      <c r="A420" s="57"/>
      <c r="B420" s="57"/>
    </row>
    <row r="421" spans="1:2" ht="14.5" x14ac:dyDescent="0.35">
      <c r="A421" s="57"/>
      <c r="B421" s="57"/>
    </row>
    <row r="422" spans="1:2" ht="14.5" x14ac:dyDescent="0.35">
      <c r="A422" s="57"/>
      <c r="B422" s="57"/>
    </row>
    <row r="423" spans="1:2" ht="14.5" x14ac:dyDescent="0.35">
      <c r="A423" s="57"/>
      <c r="B423" s="57"/>
    </row>
    <row r="424" spans="1:2" ht="14.5" x14ac:dyDescent="0.35">
      <c r="A424" s="57"/>
      <c r="B424" s="57"/>
    </row>
    <row r="425" spans="1:2" ht="14.5" x14ac:dyDescent="0.35">
      <c r="A425" s="57"/>
      <c r="B425" s="57"/>
    </row>
    <row r="426" spans="1:2" ht="14.5" x14ac:dyDescent="0.35">
      <c r="A426" s="57"/>
      <c r="B426" s="57"/>
    </row>
    <row r="427" spans="1:2" ht="14.5" x14ac:dyDescent="0.35">
      <c r="A427" s="57"/>
      <c r="B427" s="57"/>
    </row>
    <row r="428" spans="1:2" ht="14.5" x14ac:dyDescent="0.35">
      <c r="A428" s="57"/>
      <c r="B428" s="57"/>
    </row>
    <row r="429" spans="1:2" ht="14.5" x14ac:dyDescent="0.35">
      <c r="A429" s="57"/>
      <c r="B429" s="57"/>
    </row>
    <row r="430" spans="1:2" ht="14.5" x14ac:dyDescent="0.35">
      <c r="A430" s="57"/>
      <c r="B430" s="57"/>
    </row>
    <row r="431" spans="1:2" ht="14.5" x14ac:dyDescent="0.35">
      <c r="A431" s="57"/>
      <c r="B431" s="57"/>
    </row>
    <row r="432" spans="1:2" ht="14.5" x14ac:dyDescent="0.35">
      <c r="A432" s="57"/>
      <c r="B432" s="57"/>
    </row>
    <row r="433" spans="1:2" ht="14.5" x14ac:dyDescent="0.35">
      <c r="A433" s="57"/>
      <c r="B433" s="57"/>
    </row>
    <row r="434" spans="1:2" ht="14.5" x14ac:dyDescent="0.35">
      <c r="A434" s="57"/>
      <c r="B434" s="57"/>
    </row>
    <row r="435" spans="1:2" ht="14.5" x14ac:dyDescent="0.35">
      <c r="A435" s="57"/>
      <c r="B435" s="57"/>
    </row>
    <row r="436" spans="1:2" ht="14.5" x14ac:dyDescent="0.35">
      <c r="A436" s="57"/>
      <c r="B436" s="57"/>
    </row>
    <row r="437" spans="1:2" ht="14.5" x14ac:dyDescent="0.35">
      <c r="A437" s="57"/>
      <c r="B437" s="57"/>
    </row>
    <row r="438" spans="1:2" ht="14.5" x14ac:dyDescent="0.35">
      <c r="A438" s="57"/>
      <c r="B438" s="57"/>
    </row>
    <row r="439" spans="1:2" ht="14.5" x14ac:dyDescent="0.35">
      <c r="A439" s="57"/>
      <c r="B439" s="57"/>
    </row>
    <row r="440" spans="1:2" ht="14.5" x14ac:dyDescent="0.35">
      <c r="A440" s="57"/>
      <c r="B440" s="57"/>
    </row>
    <row r="441" spans="1:2" ht="14.5" x14ac:dyDescent="0.35">
      <c r="A441" s="57"/>
      <c r="B441" s="57"/>
    </row>
    <row r="442" spans="1:2" ht="14.5" x14ac:dyDescent="0.35">
      <c r="A442" s="57"/>
      <c r="B442" s="57"/>
    </row>
    <row r="443" spans="1:2" ht="14.5" x14ac:dyDescent="0.35">
      <c r="A443" s="57"/>
      <c r="B443" s="57"/>
    </row>
    <row r="444" spans="1:2" ht="14.5" x14ac:dyDescent="0.35">
      <c r="A444" s="57"/>
      <c r="B444" s="57"/>
    </row>
    <row r="445" spans="1:2" ht="14.5" x14ac:dyDescent="0.35">
      <c r="A445" s="57"/>
      <c r="B445" s="57"/>
    </row>
    <row r="446" spans="1:2" ht="14.5" x14ac:dyDescent="0.35">
      <c r="A446" s="57"/>
      <c r="B446" s="57"/>
    </row>
    <row r="447" spans="1:2" ht="14.5" x14ac:dyDescent="0.35">
      <c r="A447" s="57"/>
      <c r="B447" s="57"/>
    </row>
    <row r="448" spans="1:2" ht="14.5" x14ac:dyDescent="0.35">
      <c r="A448" s="57"/>
      <c r="B448" s="57"/>
    </row>
    <row r="449" spans="1:2" ht="14.5" x14ac:dyDescent="0.35">
      <c r="A449" s="57"/>
      <c r="B449" s="57"/>
    </row>
    <row r="450" spans="1:2" ht="14.5" x14ac:dyDescent="0.35">
      <c r="A450" s="57"/>
      <c r="B450" s="57"/>
    </row>
    <row r="451" spans="1:2" ht="14.5" x14ac:dyDescent="0.35">
      <c r="A451" s="57"/>
      <c r="B451" s="57"/>
    </row>
    <row r="452" spans="1:2" ht="14.5" x14ac:dyDescent="0.35">
      <c r="A452" s="57"/>
      <c r="B452" s="57"/>
    </row>
    <row r="453" spans="1:2" ht="14.5" x14ac:dyDescent="0.35">
      <c r="A453" s="57"/>
      <c r="B453" s="57"/>
    </row>
    <row r="454" spans="1:2" ht="14.5" x14ac:dyDescent="0.35">
      <c r="A454" s="57"/>
      <c r="B454" s="57"/>
    </row>
    <row r="455" spans="1:2" ht="14.5" x14ac:dyDescent="0.35">
      <c r="A455" s="57"/>
      <c r="B455" s="57"/>
    </row>
    <row r="456" spans="1:2" ht="14.5" x14ac:dyDescent="0.35">
      <c r="A456" s="57"/>
      <c r="B456" s="57"/>
    </row>
    <row r="457" spans="1:2" ht="14.5" x14ac:dyDescent="0.35">
      <c r="A457" s="57"/>
      <c r="B457" s="57"/>
    </row>
    <row r="458" spans="1:2" ht="14.5" x14ac:dyDescent="0.35">
      <c r="A458" s="57"/>
      <c r="B458" s="57"/>
    </row>
    <row r="459" spans="1:2" ht="14.5" x14ac:dyDescent="0.35">
      <c r="A459" s="57"/>
      <c r="B459" s="57"/>
    </row>
    <row r="460" spans="1:2" ht="14.5" x14ac:dyDescent="0.35">
      <c r="A460" s="57"/>
      <c r="B460" s="57"/>
    </row>
    <row r="461" spans="1:2" ht="14.5" x14ac:dyDescent="0.35">
      <c r="A461" s="57"/>
      <c r="B461" s="57"/>
    </row>
    <row r="462" spans="1:2" ht="14.5" x14ac:dyDescent="0.35">
      <c r="A462" s="57"/>
      <c r="B462" s="57"/>
    </row>
    <row r="463" spans="1:2" ht="14.5" x14ac:dyDescent="0.35">
      <c r="A463" s="57"/>
      <c r="B463" s="57"/>
    </row>
    <row r="464" spans="1:2" ht="14.5" x14ac:dyDescent="0.35">
      <c r="A464" s="57"/>
      <c r="B464" s="57"/>
    </row>
    <row r="465" spans="1:2" ht="14.5" x14ac:dyDescent="0.35">
      <c r="A465" s="57"/>
      <c r="B465" s="57"/>
    </row>
    <row r="466" spans="1:2" ht="14.5" x14ac:dyDescent="0.35">
      <c r="A466" s="57"/>
      <c r="B466" s="57"/>
    </row>
    <row r="467" spans="1:2" ht="14.5" x14ac:dyDescent="0.35">
      <c r="A467" s="57"/>
      <c r="B467" s="57"/>
    </row>
    <row r="468" spans="1:2" ht="14.5" x14ac:dyDescent="0.35">
      <c r="A468" s="57"/>
      <c r="B468" s="57"/>
    </row>
    <row r="469" spans="1:2" ht="14.5" x14ac:dyDescent="0.35">
      <c r="A469" s="57"/>
      <c r="B469" s="57"/>
    </row>
    <row r="470" spans="1:2" ht="14.5" x14ac:dyDescent="0.35">
      <c r="A470" s="57"/>
      <c r="B470" s="57"/>
    </row>
    <row r="471" spans="1:2" ht="14.5" x14ac:dyDescent="0.35">
      <c r="A471" s="57"/>
      <c r="B471" s="57"/>
    </row>
    <row r="472" spans="1:2" ht="14.5" x14ac:dyDescent="0.35">
      <c r="A472" s="57"/>
      <c r="B472" s="57"/>
    </row>
    <row r="473" spans="1:2" ht="14.5" x14ac:dyDescent="0.35">
      <c r="A473" s="57"/>
      <c r="B473" s="57"/>
    </row>
    <row r="474" spans="1:2" ht="14.5" x14ac:dyDescent="0.35">
      <c r="A474" s="57"/>
      <c r="B474" s="57"/>
    </row>
    <row r="475" spans="1:2" ht="14.5" x14ac:dyDescent="0.35">
      <c r="A475" s="57"/>
      <c r="B475" s="57"/>
    </row>
    <row r="476" spans="1:2" ht="14.5" x14ac:dyDescent="0.35">
      <c r="A476" s="57"/>
      <c r="B476" s="57"/>
    </row>
    <row r="477" spans="1:2" ht="14.5" x14ac:dyDescent="0.35">
      <c r="A477" s="57"/>
      <c r="B477" s="57"/>
    </row>
    <row r="478" spans="1:2" ht="14.5" x14ac:dyDescent="0.35">
      <c r="A478" s="57"/>
      <c r="B478" s="57"/>
    </row>
    <row r="479" spans="1:2" ht="14.5" x14ac:dyDescent="0.35">
      <c r="A479" s="57"/>
      <c r="B479" s="57"/>
    </row>
    <row r="480" spans="1:2" ht="14.5" x14ac:dyDescent="0.35">
      <c r="A480" s="57"/>
      <c r="B480" s="57"/>
    </row>
    <row r="481" spans="1:2" ht="14.5" x14ac:dyDescent="0.35">
      <c r="A481" s="57"/>
      <c r="B481" s="57"/>
    </row>
    <row r="482" spans="1:2" ht="14.5" x14ac:dyDescent="0.35">
      <c r="A482" s="57"/>
      <c r="B482" s="57"/>
    </row>
    <row r="483" spans="1:2" ht="14.5" x14ac:dyDescent="0.35">
      <c r="A483" s="57"/>
      <c r="B483" s="57"/>
    </row>
    <row r="484" spans="1:2" ht="14.5" x14ac:dyDescent="0.35">
      <c r="A484" s="57"/>
      <c r="B484" s="57"/>
    </row>
    <row r="485" spans="1:2" ht="14.5" x14ac:dyDescent="0.35">
      <c r="A485" s="57"/>
      <c r="B485" s="57"/>
    </row>
    <row r="486" spans="1:2" ht="14.5" x14ac:dyDescent="0.35">
      <c r="A486" s="57"/>
      <c r="B486" s="57"/>
    </row>
    <row r="487" spans="1:2" ht="14.5" x14ac:dyDescent="0.35">
      <c r="A487" s="57"/>
      <c r="B487" s="57"/>
    </row>
    <row r="488" spans="1:2" ht="14.5" x14ac:dyDescent="0.35">
      <c r="A488" s="57"/>
      <c r="B488" s="57"/>
    </row>
    <row r="489" spans="1:2" ht="14.5" x14ac:dyDescent="0.35">
      <c r="A489" s="57"/>
      <c r="B489" s="57"/>
    </row>
    <row r="490" spans="1:2" ht="14.5" x14ac:dyDescent="0.35">
      <c r="A490" s="57"/>
      <c r="B490" s="57"/>
    </row>
    <row r="491" spans="1:2" ht="14.5" x14ac:dyDescent="0.35">
      <c r="A491" s="57"/>
      <c r="B491" s="57"/>
    </row>
    <row r="492" spans="1:2" ht="14.5" x14ac:dyDescent="0.35">
      <c r="A492" s="57"/>
      <c r="B492" s="57"/>
    </row>
    <row r="493" spans="1:2" ht="14.5" x14ac:dyDescent="0.35">
      <c r="A493" s="57"/>
      <c r="B493" s="57"/>
    </row>
    <row r="494" spans="1:2" ht="14.5" x14ac:dyDescent="0.35">
      <c r="A494" s="57"/>
      <c r="B494" s="57"/>
    </row>
    <row r="495" spans="1:2" ht="14.5" x14ac:dyDescent="0.35">
      <c r="A495" s="57"/>
      <c r="B495" s="57"/>
    </row>
    <row r="496" spans="1:2" ht="14.5" x14ac:dyDescent="0.35">
      <c r="A496" s="57"/>
      <c r="B496" s="57"/>
    </row>
    <row r="497" spans="1:2" ht="14.5" x14ac:dyDescent="0.35">
      <c r="A497" s="57"/>
      <c r="B497" s="57"/>
    </row>
    <row r="498" spans="1:2" ht="14.5" x14ac:dyDescent="0.35">
      <c r="A498" s="57"/>
      <c r="B498" s="57"/>
    </row>
    <row r="499" spans="1:2" ht="14.5" x14ac:dyDescent="0.35">
      <c r="A499" s="57"/>
      <c r="B499" s="57"/>
    </row>
    <row r="500" spans="1:2" ht="14.5" x14ac:dyDescent="0.35">
      <c r="A500" s="57"/>
      <c r="B500" s="57"/>
    </row>
    <row r="501" spans="1:2" ht="14.5" x14ac:dyDescent="0.35">
      <c r="A501" s="57"/>
      <c r="B501" s="57"/>
    </row>
    <row r="502" spans="1:2" ht="14.5" x14ac:dyDescent="0.35">
      <c r="A502" s="57"/>
      <c r="B502" s="57"/>
    </row>
    <row r="503" spans="1:2" ht="14.5" x14ac:dyDescent="0.35">
      <c r="A503" s="57"/>
      <c r="B503" s="57"/>
    </row>
    <row r="504" spans="1:2" ht="14.5" x14ac:dyDescent="0.35">
      <c r="A504" s="57"/>
      <c r="B504" s="57"/>
    </row>
    <row r="505" spans="1:2" ht="14.5" x14ac:dyDescent="0.35">
      <c r="A505" s="57"/>
      <c r="B505" s="57"/>
    </row>
    <row r="506" spans="1:2" ht="14.5" x14ac:dyDescent="0.35">
      <c r="A506" s="57"/>
      <c r="B506" s="57"/>
    </row>
    <row r="507" spans="1:2" ht="14.5" x14ac:dyDescent="0.35">
      <c r="A507" s="57"/>
      <c r="B507" s="57"/>
    </row>
    <row r="508" spans="1:2" ht="14.5" x14ac:dyDescent="0.35">
      <c r="A508" s="57"/>
      <c r="B508" s="57"/>
    </row>
    <row r="509" spans="1:2" ht="14.5" x14ac:dyDescent="0.35">
      <c r="A509" s="57"/>
      <c r="B509" s="57"/>
    </row>
    <row r="510" spans="1:2" ht="14.5" x14ac:dyDescent="0.35">
      <c r="A510" s="57"/>
      <c r="B510" s="57"/>
    </row>
    <row r="511" spans="1:2" ht="14.5" x14ac:dyDescent="0.35">
      <c r="A511" s="57"/>
      <c r="B511" s="57"/>
    </row>
    <row r="512" spans="1:2" ht="14.5" x14ac:dyDescent="0.35">
      <c r="A512" s="57"/>
      <c r="B512" s="57"/>
    </row>
    <row r="513" spans="1:2" ht="14.5" x14ac:dyDescent="0.35">
      <c r="A513" s="57"/>
      <c r="B513"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RenameFoldersWithUnicode">
                <anchor moveWithCells="1" sizeWithCells="1">
                  <from>
                    <xdr:col>0</xdr:col>
                    <xdr:colOff>7366000</xdr:colOff>
                    <xdr:row>0</xdr:row>
                    <xdr:rowOff>247650</xdr:rowOff>
                  </from>
                  <to>
                    <xdr:col>1</xdr:col>
                    <xdr:colOff>1352550</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693E-D0DF-429D-A13B-423E56F8DABC}">
  <sheetPr codeName="Sheet3"/>
  <dimension ref="B1:P130"/>
  <sheetViews>
    <sheetView workbookViewId="0">
      <selection activeCell="H1" sqref="H1"/>
    </sheetView>
  </sheetViews>
  <sheetFormatPr defaultColWidth="9.1796875" defaultRowHeight="14.5" x14ac:dyDescent="0.35"/>
  <cols>
    <col min="1" max="1" width="4.54296875" style="2" customWidth="1"/>
    <col min="2" max="2" width="9.1796875" style="1"/>
    <col min="3" max="3" width="9.54296875" style="1" customWidth="1"/>
    <col min="4" max="5" width="14.54296875" style="2" customWidth="1"/>
    <col min="6" max="6" width="9.54296875" style="2" customWidth="1"/>
    <col min="7" max="7" width="3.453125" style="1" customWidth="1"/>
    <col min="8" max="8" width="10.54296875" style="1" customWidth="1"/>
    <col min="9" max="9" width="9.1796875" style="1"/>
    <col min="10" max="10" width="2.453125" style="1" customWidth="1"/>
    <col min="11" max="11" width="3" style="2" customWidth="1"/>
    <col min="12" max="13" width="11.54296875" style="2" customWidth="1"/>
    <col min="14" max="14" width="76" style="2" customWidth="1"/>
    <col min="15" max="15" width="41.81640625" style="2" customWidth="1"/>
    <col min="16" max="16384" width="9.1796875" style="2"/>
  </cols>
  <sheetData>
    <row r="1" spans="2:16" ht="15.75" customHeight="1" thickBot="1" x14ac:dyDescent="0.4">
      <c r="B1" s="125" t="s">
        <v>122</v>
      </c>
      <c r="C1" s="125"/>
      <c r="D1" s="125"/>
      <c r="E1" s="40">
        <v>0</v>
      </c>
      <c r="F1" s="40">
        <v>1</v>
      </c>
      <c r="G1" s="40">
        <v>2</v>
      </c>
      <c r="H1" s="11"/>
      <c r="I1" s="11"/>
      <c r="J1" s="22"/>
      <c r="N1" s="138" t="s">
        <v>132</v>
      </c>
    </row>
    <row r="2" spans="2:16" ht="40.5" customHeight="1" thickBot="1" x14ac:dyDescent="0.4">
      <c r="B2" s="126"/>
      <c r="C2" s="126"/>
      <c r="D2" s="126"/>
      <c r="E2" s="6" t="b">
        <v>1</v>
      </c>
      <c r="F2" s="7" t="b">
        <v>0</v>
      </c>
      <c r="G2" s="12"/>
      <c r="H2" s="20" t="s">
        <v>114</v>
      </c>
      <c r="I2" s="21">
        <f>LEN(myFilePath)+1</f>
        <v>49</v>
      </c>
      <c r="J2" s="21"/>
      <c r="L2" s="137" t="s">
        <v>131</v>
      </c>
      <c r="M2" s="137"/>
      <c r="N2" s="138"/>
      <c r="P2" s="63"/>
    </row>
    <row r="3" spans="2:16" ht="18" customHeight="1" x14ac:dyDescent="0.35">
      <c r="B3" s="130" t="s">
        <v>118</v>
      </c>
      <c r="C3" s="28"/>
      <c r="D3" s="128" t="s">
        <v>123</v>
      </c>
      <c r="E3" s="128" t="s">
        <v>124</v>
      </c>
      <c r="F3" s="25"/>
      <c r="G3" s="26"/>
      <c r="H3" s="132" t="s">
        <v>168</v>
      </c>
      <c r="I3" s="133"/>
      <c r="J3" s="23"/>
      <c r="N3" s="138"/>
    </row>
    <row r="4" spans="2:16" ht="18" customHeight="1" x14ac:dyDescent="0.35">
      <c r="B4" s="131"/>
      <c r="C4" s="127" t="s">
        <v>112</v>
      </c>
      <c r="D4" s="129"/>
      <c r="E4" s="129"/>
      <c r="F4" s="127" t="s">
        <v>112</v>
      </c>
      <c r="G4" s="21"/>
      <c r="H4" s="134"/>
      <c r="I4" s="135"/>
      <c r="J4" s="23"/>
      <c r="N4" s="13"/>
    </row>
    <row r="5" spans="2:16" ht="18" customHeight="1" thickBot="1" x14ac:dyDescent="0.4">
      <c r="B5" s="14" cm="1">
        <f t="array" aca="1" ref="B5" ca="1">MAX( _xlfn.BYROW( OFFSET($D$7,,,1000 ), _xlfn.LAMBDA(_xlpm.x, IF( ISBLANK(_xlpm.x),0,ROW(_xlpm.x) ) ) ) ) - ROW($D$7) +1</f>
        <v>82</v>
      </c>
      <c r="C5" s="127"/>
      <c r="D5" s="129"/>
      <c r="E5" s="129"/>
      <c r="F5" s="127"/>
      <c r="G5" s="27"/>
      <c r="H5" s="134"/>
      <c r="I5" s="135"/>
      <c r="J5" s="23"/>
      <c r="L5" s="136" t="s">
        <v>133</v>
      </c>
      <c r="M5" s="136"/>
      <c r="N5" s="136"/>
      <c r="O5" s="136"/>
    </row>
    <row r="6" spans="2:16" ht="21.75" customHeight="1" thickBot="1" x14ac:dyDescent="0.4">
      <c r="B6" s="16" t="s">
        <v>125</v>
      </c>
      <c r="C6" s="15" t="s">
        <v>126</v>
      </c>
      <c r="D6" s="15" t="s">
        <v>104</v>
      </c>
      <c r="E6" s="15" t="s">
        <v>105</v>
      </c>
      <c r="F6" s="15" t="s">
        <v>127</v>
      </c>
      <c r="G6" s="17"/>
      <c r="H6" s="34" t="str">
        <f>C6</f>
        <v>GR_Code</v>
      </c>
      <c r="I6" s="35" t="s">
        <v>125</v>
      </c>
      <c r="J6" s="18"/>
      <c r="L6" s="41" t="s">
        <v>116</v>
      </c>
      <c r="M6" s="41" t="s">
        <v>115</v>
      </c>
      <c r="N6" s="41" t="s">
        <v>117</v>
      </c>
      <c r="O6" s="41" t="s">
        <v>128</v>
      </c>
    </row>
    <row r="7" spans="2:16" ht="15.5" x14ac:dyDescent="0.35">
      <c r="B7" s="9" cm="1">
        <f t="array" aca="1" ref="B7:B88" ca="1">_xlfn.SEQUENCE(B5,1,1,1)</f>
        <v>1</v>
      </c>
      <c r="C7" s="9" cm="1">
        <f t="array" aca="1" ref="C7:C88" ca="1">_xlfn.LET( _xlpm.lst_01, OFFSET(_xlfn.ANCHORARRAY(B7),,2), _xlfn.BYROW( _xlpm.lst_01, _xlfn.LAMBDA(_xlpm.x, IF(LEN(_xlpm.x)&gt;0, _xlfn.UNICODE(_xlpm.x),) ) ) )</f>
        <v>913</v>
      </c>
      <c r="D7" s="8" t="s">
        <v>2</v>
      </c>
      <c r="E7" s="8" t="s">
        <v>29</v>
      </c>
      <c r="F7" s="9" cm="1">
        <f t="array" aca="1" ref="F7:F88" ca="1">_xlfn.LET( _xlpm.lst_01, OFFSET(_xlfn.ANCHORARRAY(B7),,3), _xlfn.BYROW( _xlpm.lst_01, _xlfn.LAMBDA(_xlpm.x, IF(LEN(_xlpm.x)&gt;0, _xlfn.UNICODE(_xlpm.x),) ) ) )</f>
        <v>65</v>
      </c>
      <c r="G7" s="24"/>
      <c r="H7" s="33" t="str" cm="1">
        <f t="array" aca="1" ref="H7:I88" ca="1">_xlfn.LET( _xlpm.lst_1,_xlfn.ANCHORARRAY( $B$7),
      _xlpm.lst_2, OFFSET( _xlpm.lst_1, , 2, , 2),
      _xlpm.lst_5, _xlfn.UNIQUE( _xlfn._xlws.SORT( _xlpm.lst_2, 1),1,1 ),
      _xlpm.lst_5 )</f>
        <v>–</v>
      </c>
      <c r="I7" s="29" t="str">
        <f ca="1"/>
        <v xml:space="preserve"> </v>
      </c>
      <c r="J7" s="32"/>
      <c r="L7" s="42" t="s">
        <v>82</v>
      </c>
      <c r="M7" s="42" t="str" cm="1">
        <f t="array" aca="1" ref="M7" ca="1">IFERROR( INDEX(_xlfn.ANCHORARRAY( $H$7), _xlfn.XMATCH( L7, INDEX(_xlfn.ANCHORARRAY( $H$7),,1), 0, 2), 2), L7)</f>
        <v>D</v>
      </c>
      <c r="N7" s="43" t="str">
        <f ca="1">_xlfn.FORMULATEXT(M7)</f>
        <v>=IFERROR( INDEX( $H$7#, XMATCH( L7, INDEX( $H$7#,,1), 0, 2), 2), L7)</v>
      </c>
      <c r="O7" s="44" t="s">
        <v>129</v>
      </c>
    </row>
    <row r="8" spans="2:16" x14ac:dyDescent="0.35">
      <c r="B8" s="10">
        <f ca="1"/>
        <v>2</v>
      </c>
      <c r="C8" s="10">
        <f ca="1"/>
        <v>914</v>
      </c>
      <c r="D8" s="8" t="s">
        <v>3</v>
      </c>
      <c r="E8" s="8" t="s">
        <v>30</v>
      </c>
      <c r="F8" s="10">
        <f ca="1"/>
        <v>66</v>
      </c>
      <c r="G8" s="24"/>
      <c r="H8" s="30" t="str">
        <f ca="1"/>
        <v>—</v>
      </c>
      <c r="I8" s="31" t="str">
        <f ca="1"/>
        <v xml:space="preserve"> </v>
      </c>
      <c r="J8" s="32"/>
      <c r="L8" s="42" t="s">
        <v>95</v>
      </c>
      <c r="M8" s="42" t="str" cm="1">
        <f t="array" aca="1" ref="M8" ca="1">IFERROR( INDEX(_xlfn.ANCHORARRAY( $H$7), _xlfn.XMATCH( L8, INDEX(_xlfn.ANCHORARRAY( $H$7),,1), 0, 2), 2), L8)</f>
        <v>R</v>
      </c>
      <c r="N8" s="43" t="str">
        <f t="shared" ref="N8" ca="1" si="0">_xlfn.FORMULATEXT(M8)</f>
        <v>=IFERROR( INDEX( $H$7#, XMATCH( L8, INDEX( $H$7#,,1), 0, 2), 2), L8)</v>
      </c>
      <c r="O8" s="45"/>
    </row>
    <row r="9" spans="2:16" x14ac:dyDescent="0.35">
      <c r="B9" s="10">
        <f ca="1"/>
        <v>3</v>
      </c>
      <c r="C9" s="10">
        <f ca="1"/>
        <v>915</v>
      </c>
      <c r="D9" s="8" t="s">
        <v>4</v>
      </c>
      <c r="E9" s="8" t="s">
        <v>31</v>
      </c>
      <c r="F9" s="10">
        <f ca="1"/>
        <v>71</v>
      </c>
      <c r="G9" s="24"/>
      <c r="H9" s="30" t="str">
        <f ca="1"/>
        <v>%</v>
      </c>
      <c r="I9" s="31" t="str">
        <f ca="1"/>
        <v xml:space="preserve"> </v>
      </c>
      <c r="J9" s="32"/>
      <c r="L9" s="42" t="s">
        <v>73</v>
      </c>
      <c r="M9" s="42" t="str" cm="1">
        <f t="array" aca="1" ref="M9" ca="1">IFERROR( INDEX(_xlfn.ANCHORARRAY( $H$7), _xlfn.XMATCH( L9, INDEX(_xlfn.ANCHORARRAY( $H$7),,1), 0, 2), 2), L9)</f>
        <v>R</v>
      </c>
      <c r="N9" s="43"/>
      <c r="O9" s="45"/>
    </row>
    <row r="10" spans="2:16" x14ac:dyDescent="0.35">
      <c r="B10" s="10">
        <f ca="1"/>
        <v>4</v>
      </c>
      <c r="C10" s="10">
        <f ca="1"/>
        <v>916</v>
      </c>
      <c r="D10" s="8" t="s">
        <v>5</v>
      </c>
      <c r="E10" s="8" t="s">
        <v>32</v>
      </c>
      <c r="F10" s="10">
        <f ca="1"/>
        <v>68</v>
      </c>
      <c r="G10" s="24"/>
      <c r="H10" s="30" t="str">
        <f ca="1"/>
        <v>[</v>
      </c>
      <c r="I10" s="31" t="str">
        <f ca="1"/>
        <v>-</v>
      </c>
      <c r="J10" s="32"/>
      <c r="L10" s="42" t="s">
        <v>1</v>
      </c>
      <c r="M10" s="42" t="str" cm="1">
        <f t="array" aca="1" ref="M10" ca="1">IFERROR( INDEX(_xlfn.ANCHORARRAY( $H$7), _xlfn.XMATCH( L10, INDEX(_xlfn.ANCHORARRAY( $H$7),,1), 0, 2), 2), L10)</f>
        <v>A</v>
      </c>
      <c r="N10" s="43"/>
      <c r="O10" s="45"/>
    </row>
    <row r="11" spans="2:16" x14ac:dyDescent="0.35">
      <c r="B11" s="10">
        <f ca="1"/>
        <v>5</v>
      </c>
      <c r="C11" s="10">
        <f ca="1"/>
        <v>917</v>
      </c>
      <c r="D11" s="8" t="s">
        <v>6</v>
      </c>
      <c r="E11" s="8" t="s">
        <v>33</v>
      </c>
      <c r="F11" s="10">
        <f ca="1"/>
        <v>69</v>
      </c>
      <c r="G11" s="24"/>
      <c r="H11" s="30" t="str">
        <f ca="1"/>
        <v>]</v>
      </c>
      <c r="I11" s="31" t="str">
        <f ca="1"/>
        <v xml:space="preserve"> </v>
      </c>
      <c r="J11" s="32"/>
      <c r="L11" s="42" t="s">
        <v>2</v>
      </c>
      <c r="M11" s="42" t="str" cm="1">
        <f t="array" aca="1" ref="M11" ca="1">IFERROR( INDEX(_xlfn.ANCHORARRAY( $H$7), _xlfn.XMATCH( L11, INDEX(_xlfn.ANCHORARRAY( $H$7),,1), 0, 2), 2), L11)</f>
        <v>A</v>
      </c>
      <c r="N11" s="43"/>
      <c r="O11" s="45"/>
    </row>
    <row r="12" spans="2:16" x14ac:dyDescent="0.35">
      <c r="B12" s="10">
        <f ca="1"/>
        <v>6</v>
      </c>
      <c r="C12" s="10">
        <f ca="1"/>
        <v>918</v>
      </c>
      <c r="D12" s="8" t="s">
        <v>7</v>
      </c>
      <c r="E12" s="8" t="s">
        <v>34</v>
      </c>
      <c r="F12" s="10">
        <f ca="1"/>
        <v>90</v>
      </c>
      <c r="G12" s="24"/>
      <c r="H12" s="30" t="str">
        <f ca="1"/>
        <v>~</v>
      </c>
      <c r="I12" s="31" t="str">
        <f ca="1"/>
        <v>a</v>
      </c>
      <c r="J12" s="32"/>
      <c r="L12" s="42" t="s">
        <v>27</v>
      </c>
      <c r="M12" s="42" t="str" cm="1">
        <f t="array" aca="1" ref="M12" ca="1">IFERROR( INDEX(_xlfn.ANCHORARRAY( $H$7), _xlfn.XMATCH( L12, INDEX(_xlfn.ANCHORARRAY( $H$7),,1), 0, 2), 2), L12)</f>
        <v>I</v>
      </c>
      <c r="N12" s="43"/>
      <c r="O12" s="45"/>
    </row>
    <row r="13" spans="2:16" x14ac:dyDescent="0.35">
      <c r="B13" s="10">
        <f ca="1"/>
        <v>7</v>
      </c>
      <c r="C13" s="10">
        <f ca="1"/>
        <v>919</v>
      </c>
      <c r="D13" s="8" t="s">
        <v>8</v>
      </c>
      <c r="E13" s="8" t="s">
        <v>35</v>
      </c>
      <c r="F13" s="10">
        <f ca="1"/>
        <v>72</v>
      </c>
      <c r="G13" s="24"/>
      <c r="H13" s="30" t="str">
        <f ca="1"/>
        <v>∏</v>
      </c>
      <c r="I13" s="31" t="str">
        <f ca="1"/>
        <v xml:space="preserve"> </v>
      </c>
      <c r="J13" s="32"/>
      <c r="L13" s="42" t="s">
        <v>121</v>
      </c>
      <c r="M13" s="42" t="str" cm="1">
        <f t="array" aca="1" ref="M13" ca="1">IFERROR( INDEX(_xlfn.ANCHORARRAY( $H$7), _xlfn.XMATCH( _xlfn.UNICODE(L13), INDEX(_xlfn.ANCHORARRAY( $H$7),,1), 0, 2), 2), L13)</f>
        <v xml:space="preserve"> </v>
      </c>
      <c r="N13" s="43"/>
      <c r="O13" s="45"/>
    </row>
    <row r="14" spans="2:16" x14ac:dyDescent="0.35">
      <c r="B14" s="10">
        <f ca="1"/>
        <v>8</v>
      </c>
      <c r="C14" s="10">
        <f ca="1"/>
        <v>920</v>
      </c>
      <c r="D14" s="8" t="s">
        <v>9</v>
      </c>
      <c r="E14" s="8">
        <v>8</v>
      </c>
      <c r="F14" s="10">
        <f ca="1"/>
        <v>56</v>
      </c>
      <c r="G14" s="24"/>
      <c r="H14" s="30" t="str">
        <f ca="1"/>
        <v>∫</v>
      </c>
      <c r="I14" s="31" t="str">
        <f ca="1"/>
        <v xml:space="preserve"> </v>
      </c>
      <c r="J14" s="32"/>
      <c r="L14" s="42" t="s">
        <v>121</v>
      </c>
      <c r="M14" s="42" t="str" cm="1">
        <f t="array" aca="1" ref="M14" ca="1">IFERROR( INDEX(_xlfn.ANCHORARRAY( $H$7), _xlfn.XMATCH( _xlfn.UNICODE(L14), INDEX(_xlfn.ANCHORARRAY( $H$7),,1), 0, 2), 2), L14)</f>
        <v xml:space="preserve"> </v>
      </c>
      <c r="N14" s="43"/>
      <c r="O14" s="45"/>
    </row>
    <row r="15" spans="2:16" x14ac:dyDescent="0.35">
      <c r="B15" s="10">
        <f ca="1"/>
        <v>9</v>
      </c>
      <c r="C15" s="10">
        <f ca="1"/>
        <v>921</v>
      </c>
      <c r="D15" s="8" t="s">
        <v>10</v>
      </c>
      <c r="E15" s="8" t="s">
        <v>36</v>
      </c>
      <c r="F15" s="10">
        <f ca="1"/>
        <v>73</v>
      </c>
      <c r="G15" s="24"/>
      <c r="H15" s="30" t="str">
        <f ca="1"/>
        <v>©</v>
      </c>
      <c r="I15" s="31" t="str">
        <f ca="1"/>
        <v xml:space="preserve"> </v>
      </c>
      <c r="J15" s="32"/>
      <c r="L15" s="42" t="s">
        <v>121</v>
      </c>
      <c r="M15" s="42" t="str" cm="1">
        <f t="array" aca="1" ref="M15" ca="1">IFERROR( INDEX(_xlfn.ANCHORARRAY( $H$7), _xlfn.XMATCH( _xlfn.UNICODE(L15), INDEX(_xlfn.ANCHORARRAY( $H$7),,1), 0, 2), 2), L15)</f>
        <v xml:space="preserve"> </v>
      </c>
      <c r="N15" s="43"/>
      <c r="O15" s="45"/>
    </row>
    <row r="16" spans="2:16" ht="15" thickBot="1" x14ac:dyDescent="0.4">
      <c r="B16" s="10">
        <f ca="1"/>
        <v>10</v>
      </c>
      <c r="C16" s="10">
        <f ca="1"/>
        <v>922</v>
      </c>
      <c r="D16" s="8" t="s">
        <v>11</v>
      </c>
      <c r="E16" s="8" t="s">
        <v>37</v>
      </c>
      <c r="F16" s="10">
        <f ca="1"/>
        <v>75</v>
      </c>
      <c r="G16" s="24"/>
      <c r="H16" s="30" t="str">
        <f ca="1"/>
        <v>µ</v>
      </c>
      <c r="I16" s="31" t="str">
        <f ca="1"/>
        <v xml:space="preserve"> </v>
      </c>
      <c r="J16" s="32"/>
      <c r="L16" s="46" t="s">
        <v>121</v>
      </c>
      <c r="M16" s="46" t="str" cm="1">
        <f t="array" aca="1" ref="M16" ca="1">IFERROR( INDEX(_xlfn.ANCHORARRAY( $H$7), _xlfn.XMATCH( _xlfn.UNICODE(L16), INDEX(_xlfn.ANCHORARRAY( $H$7),,1), 0, 2), 2), L16)</f>
        <v xml:space="preserve"> </v>
      </c>
      <c r="N16" s="47"/>
      <c r="O16" s="48"/>
    </row>
    <row r="17" spans="2:15" x14ac:dyDescent="0.35">
      <c r="B17" s="10">
        <f ca="1"/>
        <v>11</v>
      </c>
      <c r="C17" s="10">
        <f ca="1"/>
        <v>923</v>
      </c>
      <c r="D17" s="8" t="s">
        <v>12</v>
      </c>
      <c r="E17" s="8" t="s">
        <v>38</v>
      </c>
      <c r="F17" s="10">
        <f ca="1"/>
        <v>76</v>
      </c>
      <c r="G17" s="24"/>
      <c r="H17" s="30" t="str">
        <f ca="1"/>
        <v>ª</v>
      </c>
      <c r="I17" s="31" t="str">
        <f ca="1"/>
        <v xml:space="preserve"> </v>
      </c>
      <c r="J17" s="32"/>
      <c r="L17" s="42" t="s">
        <v>82</v>
      </c>
      <c r="M17" s="42" t="str">
        <f ca="1">IFERROR( INDEX(_xlfn.ANCHORARRAY( $H$7), MATCH( _xlfn.UNICODE(L17), INDEX(_xlfn.ANCHORARRAY( $H$7),,1), 0), 2), L17)</f>
        <v>δ</v>
      </c>
      <c r="N17" s="45" t="str">
        <f t="shared" ref="N17" ca="1" si="1">_xlfn.FORMULATEXT(M17)</f>
        <v>=IFERROR( INDEX( $H$7#, MATCH( UNICODE(L17), INDEX( $H$7#,,1), 0), 2), L17)</v>
      </c>
      <c r="O17" s="44" t="s">
        <v>134</v>
      </c>
    </row>
    <row r="18" spans="2:15" x14ac:dyDescent="0.35">
      <c r="B18" s="10">
        <f ca="1"/>
        <v>12</v>
      </c>
      <c r="C18" s="10">
        <f ca="1"/>
        <v>924</v>
      </c>
      <c r="D18" s="8" t="s">
        <v>13</v>
      </c>
      <c r="E18" s="8" t="s">
        <v>39</v>
      </c>
      <c r="F18" s="10">
        <f ca="1"/>
        <v>77</v>
      </c>
      <c r="G18" s="24"/>
      <c r="H18" s="30" t="str">
        <f ca="1"/>
        <v>É</v>
      </c>
      <c r="I18" s="31" t="str">
        <f ca="1"/>
        <v xml:space="preserve"> </v>
      </c>
      <c r="J18" s="32"/>
      <c r="L18" s="45"/>
      <c r="M18" s="45"/>
      <c r="N18" s="45"/>
      <c r="O18" s="45"/>
    </row>
    <row r="19" spans="2:15" x14ac:dyDescent="0.35">
      <c r="B19" s="10">
        <f ca="1"/>
        <v>13</v>
      </c>
      <c r="C19" s="10">
        <f ca="1"/>
        <v>925</v>
      </c>
      <c r="D19" s="8" t="s">
        <v>14</v>
      </c>
      <c r="E19" s="8" t="s">
        <v>40</v>
      </c>
      <c r="F19" s="10">
        <f ca="1"/>
        <v>78</v>
      </c>
      <c r="G19" s="24"/>
      <c r="H19" s="30" t="str">
        <f ca="1"/>
        <v>™</v>
      </c>
      <c r="I19" s="31" t="str">
        <f ca="1"/>
        <v xml:space="preserve"> </v>
      </c>
      <c r="J19" s="32"/>
      <c r="L19" s="45"/>
      <c r="M19" s="45"/>
      <c r="N19" s="45"/>
      <c r="O19" s="45"/>
    </row>
    <row r="20" spans="2:15" x14ac:dyDescent="0.35">
      <c r="B20" s="10">
        <f ca="1"/>
        <v>14</v>
      </c>
      <c r="C20" s="10">
        <f ca="1"/>
        <v>926</v>
      </c>
      <c r="D20" s="8" t="s">
        <v>15</v>
      </c>
      <c r="E20" s="8" t="s">
        <v>166</v>
      </c>
      <c r="F20" s="10">
        <f ca="1"/>
        <v>75</v>
      </c>
      <c r="G20" s="24"/>
      <c r="H20" s="30" t="str">
        <f ca="1"/>
        <v>Α</v>
      </c>
      <c r="I20" s="31" t="str">
        <f ca="1"/>
        <v>A</v>
      </c>
      <c r="J20" s="32"/>
      <c r="L20" s="45"/>
      <c r="M20" s="45"/>
      <c r="N20" s="45"/>
      <c r="O20" s="45"/>
    </row>
    <row r="21" spans="2:15" x14ac:dyDescent="0.35">
      <c r="B21" s="10">
        <f ca="1"/>
        <v>15</v>
      </c>
      <c r="C21" s="10">
        <f ca="1"/>
        <v>927</v>
      </c>
      <c r="D21" s="8" t="s">
        <v>71</v>
      </c>
      <c r="E21" s="8" t="s">
        <v>42</v>
      </c>
      <c r="F21" s="10">
        <f ca="1"/>
        <v>79</v>
      </c>
      <c r="G21" s="24"/>
      <c r="H21" s="30" t="str">
        <f ca="1"/>
        <v>α</v>
      </c>
      <c r="I21" s="31" t="str">
        <f ca="1"/>
        <v>a</v>
      </c>
      <c r="J21" s="32"/>
      <c r="L21" s="45"/>
      <c r="M21" s="45"/>
      <c r="N21" s="45"/>
      <c r="O21" s="45"/>
    </row>
    <row r="22" spans="2:15" x14ac:dyDescent="0.35">
      <c r="B22" s="10">
        <f ca="1"/>
        <v>16</v>
      </c>
      <c r="C22" s="10">
        <f ca="1"/>
        <v>928</v>
      </c>
      <c r="D22" s="8" t="s">
        <v>72</v>
      </c>
      <c r="E22" s="8" t="s">
        <v>43</v>
      </c>
      <c r="F22" s="10">
        <f ca="1"/>
        <v>80</v>
      </c>
      <c r="G22" s="24"/>
      <c r="H22" s="30" t="str">
        <f ca="1"/>
        <v>Ά</v>
      </c>
      <c r="I22" s="31" t="str">
        <f ca="1"/>
        <v>A</v>
      </c>
      <c r="J22" s="32"/>
      <c r="L22" s="45"/>
      <c r="M22" s="45"/>
      <c r="N22" s="45"/>
      <c r="O22" s="45"/>
    </row>
    <row r="23" spans="2:15" x14ac:dyDescent="0.35">
      <c r="B23" s="10">
        <f ca="1"/>
        <v>17</v>
      </c>
      <c r="C23" s="10">
        <f ca="1"/>
        <v>929</v>
      </c>
      <c r="D23" s="8" t="s">
        <v>73</v>
      </c>
      <c r="E23" s="8" t="s">
        <v>44</v>
      </c>
      <c r="F23" s="10">
        <f ca="1"/>
        <v>82</v>
      </c>
      <c r="G23" s="24"/>
      <c r="H23" s="30" t="str">
        <f ca="1"/>
        <v>ά</v>
      </c>
      <c r="I23" s="31" t="str">
        <f ca="1"/>
        <v>a</v>
      </c>
      <c r="J23" s="32"/>
      <c r="L23" s="123" t="s">
        <v>138</v>
      </c>
      <c r="M23" s="124"/>
      <c r="N23" s="124"/>
      <c r="O23" s="124"/>
    </row>
    <row r="24" spans="2:15" x14ac:dyDescent="0.35">
      <c r="B24" s="10">
        <f ca="1"/>
        <v>18</v>
      </c>
      <c r="C24" s="10">
        <f ca="1"/>
        <v>902</v>
      </c>
      <c r="D24" s="8" t="s">
        <v>139</v>
      </c>
      <c r="E24" s="8" t="s">
        <v>29</v>
      </c>
      <c r="F24" s="10">
        <f ca="1"/>
        <v>65</v>
      </c>
      <c r="G24" s="24"/>
      <c r="H24" s="30" t="str">
        <f ca="1"/>
        <v>Β</v>
      </c>
      <c r="I24" s="31" t="str">
        <f ca="1"/>
        <v>B</v>
      </c>
      <c r="J24" s="32"/>
      <c r="L24" s="124"/>
      <c r="M24" s="124"/>
      <c r="N24" s="124"/>
      <c r="O24" s="124"/>
    </row>
    <row r="25" spans="2:15" x14ac:dyDescent="0.35">
      <c r="B25" s="10">
        <f ca="1"/>
        <v>19</v>
      </c>
      <c r="C25" s="10">
        <f ca="1"/>
        <v>931</v>
      </c>
      <c r="D25" s="8" t="s">
        <v>74</v>
      </c>
      <c r="E25" s="8" t="s">
        <v>45</v>
      </c>
      <c r="F25" s="10">
        <f ca="1"/>
        <v>83</v>
      </c>
      <c r="G25" s="24"/>
      <c r="H25" s="30" t="str">
        <f ca="1"/>
        <v>β</v>
      </c>
      <c r="I25" s="31" t="str">
        <f ca="1"/>
        <v>b</v>
      </c>
      <c r="J25" s="32"/>
      <c r="L25" s="124"/>
      <c r="M25" s="124"/>
      <c r="N25" s="124"/>
      <c r="O25" s="124"/>
    </row>
    <row r="26" spans="2:15" x14ac:dyDescent="0.35">
      <c r="B26" s="10">
        <f ca="1"/>
        <v>20</v>
      </c>
      <c r="C26" s="10">
        <f ca="1"/>
        <v>932</v>
      </c>
      <c r="D26" s="8" t="s">
        <v>75</v>
      </c>
      <c r="E26" s="8" t="s">
        <v>46</v>
      </c>
      <c r="F26" s="10">
        <f ca="1"/>
        <v>84</v>
      </c>
      <c r="G26" s="24"/>
      <c r="H26" s="30" t="str">
        <f ca="1"/>
        <v>Γ</v>
      </c>
      <c r="I26" s="31" t="str">
        <f ca="1"/>
        <v>G</v>
      </c>
      <c r="J26" s="32"/>
      <c r="L26" s="124"/>
      <c r="M26" s="124"/>
      <c r="N26" s="124"/>
      <c r="O26" s="124"/>
    </row>
    <row r="27" spans="2:15" x14ac:dyDescent="0.35">
      <c r="B27" s="10">
        <f ca="1"/>
        <v>21</v>
      </c>
      <c r="C27" s="10">
        <f ca="1"/>
        <v>933</v>
      </c>
      <c r="D27" s="8" t="s">
        <v>76</v>
      </c>
      <c r="E27" s="8" t="s">
        <v>103</v>
      </c>
      <c r="F27" s="10">
        <f ca="1"/>
        <v>85</v>
      </c>
      <c r="G27" s="24"/>
      <c r="H27" s="30" t="str">
        <f ca="1"/>
        <v>γ</v>
      </c>
      <c r="I27" s="31" t="str">
        <f ca="1"/>
        <v>g</v>
      </c>
      <c r="J27" s="32"/>
      <c r="L27" s="124"/>
      <c r="M27" s="124"/>
      <c r="N27" s="124"/>
      <c r="O27" s="124"/>
    </row>
    <row r="28" spans="2:15" x14ac:dyDescent="0.35">
      <c r="B28" s="10">
        <f ca="1"/>
        <v>22</v>
      </c>
      <c r="C28" s="10">
        <f ca="1"/>
        <v>934</v>
      </c>
      <c r="D28" s="8" t="s">
        <v>77</v>
      </c>
      <c r="E28" s="8" t="s">
        <v>48</v>
      </c>
      <c r="F28" s="10">
        <f ca="1"/>
        <v>70</v>
      </c>
      <c r="G28" s="24"/>
      <c r="H28" s="30" t="str">
        <f ca="1"/>
        <v>Δ</v>
      </c>
      <c r="I28" s="31" t="str">
        <f ca="1"/>
        <v>D</v>
      </c>
      <c r="J28" s="32"/>
      <c r="L28" s="124"/>
      <c r="M28" s="124"/>
      <c r="N28" s="124"/>
      <c r="O28" s="124"/>
    </row>
    <row r="29" spans="2:15" x14ac:dyDescent="0.35">
      <c r="B29" s="10">
        <f ca="1"/>
        <v>23</v>
      </c>
      <c r="C29" s="10">
        <f ca="1"/>
        <v>935</v>
      </c>
      <c r="D29" s="8" t="s">
        <v>78</v>
      </c>
      <c r="E29" s="8" t="s">
        <v>41</v>
      </c>
      <c r="F29" s="10">
        <f ca="1"/>
        <v>88</v>
      </c>
      <c r="G29" s="24"/>
      <c r="H29" s="30" t="str">
        <f ca="1"/>
        <v>δ</v>
      </c>
      <c r="I29" s="31" t="str">
        <f ca="1"/>
        <v>d</v>
      </c>
      <c r="J29" s="32"/>
    </row>
    <row r="30" spans="2:15" x14ac:dyDescent="0.35">
      <c r="B30" s="10">
        <f ca="1"/>
        <v>24</v>
      </c>
      <c r="C30" s="10">
        <f ca="1"/>
        <v>936</v>
      </c>
      <c r="D30" s="8" t="s">
        <v>19</v>
      </c>
      <c r="E30" s="8" t="s">
        <v>154</v>
      </c>
      <c r="F30" s="10">
        <f ca="1"/>
        <v>80</v>
      </c>
      <c r="G30" s="24"/>
      <c r="H30" s="30" t="str">
        <f ca="1"/>
        <v>Ε</v>
      </c>
      <c r="I30" s="31" t="str">
        <f ca="1"/>
        <v>E</v>
      </c>
      <c r="J30" s="32"/>
    </row>
    <row r="31" spans="2:15" ht="15" thickBot="1" x14ac:dyDescent="0.4">
      <c r="B31" s="10">
        <f ca="1"/>
        <v>25</v>
      </c>
      <c r="C31" s="10">
        <f ca="1"/>
        <v>937</v>
      </c>
      <c r="D31" s="8" t="s">
        <v>20</v>
      </c>
      <c r="E31" s="8" t="s">
        <v>49</v>
      </c>
      <c r="F31" s="10">
        <f ca="1"/>
        <v>87</v>
      </c>
      <c r="G31" s="24"/>
      <c r="H31" s="30" t="str">
        <f ca="1"/>
        <v>ε</v>
      </c>
      <c r="I31" s="31" t="str">
        <f ca="1"/>
        <v>e</v>
      </c>
      <c r="J31" s="32"/>
      <c r="L31" s="120" t="s">
        <v>167</v>
      </c>
      <c r="M31" s="120"/>
      <c r="N31" s="120"/>
      <c r="O31" s="120"/>
    </row>
    <row r="32" spans="2:15" x14ac:dyDescent="0.35">
      <c r="B32" s="10">
        <f ca="1"/>
        <v>26</v>
      </c>
      <c r="C32" s="10">
        <f ca="1"/>
        <v>938</v>
      </c>
      <c r="D32" s="8" t="s">
        <v>28</v>
      </c>
      <c r="E32" s="8" t="s">
        <v>36</v>
      </c>
      <c r="F32" s="10">
        <f ca="1"/>
        <v>73</v>
      </c>
      <c r="G32" s="24"/>
      <c r="H32" s="30" t="str">
        <f ca="1"/>
        <v>έ</v>
      </c>
      <c r="I32" s="31" t="str">
        <f ca="1"/>
        <v>e</v>
      </c>
      <c r="J32" s="32"/>
      <c r="L32" s="76" t="s">
        <v>135</v>
      </c>
      <c r="M32" s="75" t="str" cm="1">
        <f t="array" aca="1" ref="M32:M35" ca="1">MultSubsttt( L32:L35,_xlfn.ANCHORARRAY( $H$7))</f>
        <v xml:space="preserve">Apo- </v>
      </c>
      <c r="N32" s="75"/>
      <c r="O32" s="75"/>
    </row>
    <row r="33" spans="2:15" x14ac:dyDescent="0.35">
      <c r="B33" s="10">
        <f ca="1"/>
        <v>27</v>
      </c>
      <c r="C33" s="10">
        <f ca="1"/>
        <v>939</v>
      </c>
      <c r="D33" s="8" t="s">
        <v>79</v>
      </c>
      <c r="E33" s="8" t="s">
        <v>47</v>
      </c>
      <c r="F33" s="10">
        <f ca="1"/>
        <v>89</v>
      </c>
      <c r="G33" s="24"/>
      <c r="H33" s="30" t="str">
        <f ca="1"/>
        <v>Έ</v>
      </c>
      <c r="I33" s="31" t="str">
        <f ca="1"/>
        <v>E</v>
      </c>
      <c r="J33" s="32"/>
      <c r="L33" s="76" t="s">
        <v>136</v>
      </c>
      <c r="M33" s="75" t="str">
        <f ca="1"/>
        <v>SGDSFffass---   esrse</v>
      </c>
      <c r="N33" s="75"/>
      <c r="O33" s="75"/>
    </row>
    <row r="34" spans="2:15" x14ac:dyDescent="0.35">
      <c r="B34" s="10">
        <f ca="1"/>
        <v>28</v>
      </c>
      <c r="C34" s="10">
        <f ca="1"/>
        <v>940</v>
      </c>
      <c r="D34" s="8" t="s">
        <v>21</v>
      </c>
      <c r="E34" s="8" t="s">
        <v>50</v>
      </c>
      <c r="F34" s="10">
        <f ca="1"/>
        <v>97</v>
      </c>
      <c r="G34" s="24"/>
      <c r="H34" s="30" t="str">
        <f ca="1"/>
        <v>Ζ</v>
      </c>
      <c r="I34" s="31" t="str">
        <f ca="1"/>
        <v>Z</v>
      </c>
      <c r="J34" s="32"/>
      <c r="L34" s="76"/>
      <c r="M34" s="75" t="str">
        <f ca="1"/>
        <v/>
      </c>
      <c r="N34" s="75"/>
      <c r="O34" s="75"/>
    </row>
    <row r="35" spans="2:15" x14ac:dyDescent="0.35">
      <c r="B35" s="10">
        <f ca="1"/>
        <v>29</v>
      </c>
      <c r="C35" s="10">
        <f ca="1"/>
        <v>941</v>
      </c>
      <c r="D35" s="8" t="s">
        <v>25</v>
      </c>
      <c r="E35" s="8" t="s">
        <v>51</v>
      </c>
      <c r="F35" s="10">
        <f ca="1"/>
        <v>101</v>
      </c>
      <c r="G35" s="24"/>
      <c r="H35" s="30" t="str">
        <f ca="1"/>
        <v>ζ</v>
      </c>
      <c r="I35" s="31" t="str">
        <f ca="1"/>
        <v>z</v>
      </c>
      <c r="J35" s="32"/>
      <c r="L35" s="76"/>
      <c r="M35" s="75" t="str">
        <f ca="1"/>
        <v/>
      </c>
      <c r="N35" s="75"/>
      <c r="O35" s="75"/>
    </row>
    <row r="36" spans="2:15" x14ac:dyDescent="0.35">
      <c r="B36" s="10">
        <f ca="1"/>
        <v>30</v>
      </c>
      <c r="C36" s="10">
        <f ca="1"/>
        <v>942</v>
      </c>
      <c r="D36" s="8" t="s">
        <v>23</v>
      </c>
      <c r="E36" s="8" t="s">
        <v>52</v>
      </c>
      <c r="F36" s="10">
        <f ca="1"/>
        <v>104</v>
      </c>
      <c r="G36" s="24"/>
      <c r="H36" s="30" t="str">
        <f ca="1"/>
        <v>Η</v>
      </c>
      <c r="I36" s="31" t="str">
        <f ca="1"/>
        <v>H</v>
      </c>
      <c r="J36" s="32"/>
      <c r="L36" s="121" t="s">
        <v>137</v>
      </c>
      <c r="M36" s="122"/>
      <c r="N36" s="122"/>
      <c r="O36" s="122"/>
    </row>
    <row r="37" spans="2:15" x14ac:dyDescent="0.35">
      <c r="B37" s="10">
        <f ca="1"/>
        <v>31</v>
      </c>
      <c r="C37" s="10">
        <f ca="1"/>
        <v>943</v>
      </c>
      <c r="D37" s="8" t="s">
        <v>22</v>
      </c>
      <c r="E37" s="8" t="s">
        <v>53</v>
      </c>
      <c r="F37" s="10">
        <f ca="1"/>
        <v>105</v>
      </c>
      <c r="G37" s="24"/>
      <c r="H37" s="30" t="str">
        <f ca="1"/>
        <v>η</v>
      </c>
      <c r="I37" s="31" t="str">
        <f ca="1"/>
        <v>h</v>
      </c>
      <c r="J37" s="32"/>
      <c r="L37" s="122"/>
      <c r="M37" s="122"/>
      <c r="N37" s="122"/>
      <c r="O37" s="122"/>
    </row>
    <row r="38" spans="2:15" x14ac:dyDescent="0.35">
      <c r="B38" s="10">
        <f ca="1"/>
        <v>32</v>
      </c>
      <c r="C38" s="10">
        <f ca="1"/>
        <v>944</v>
      </c>
      <c r="D38" s="8" t="s">
        <v>80</v>
      </c>
      <c r="E38" s="8" t="s">
        <v>54</v>
      </c>
      <c r="F38" s="10">
        <f ca="1"/>
        <v>117</v>
      </c>
      <c r="G38" s="24"/>
      <c r="H38" s="30" t="str">
        <f ca="1"/>
        <v>ή</v>
      </c>
      <c r="I38" s="31" t="str">
        <f ca="1"/>
        <v>h</v>
      </c>
      <c r="J38" s="32"/>
      <c r="L38" s="122"/>
      <c r="M38" s="122"/>
      <c r="N38" s="122"/>
      <c r="O38" s="122"/>
    </row>
    <row r="39" spans="2:15" x14ac:dyDescent="0.35">
      <c r="B39" s="10">
        <f ca="1"/>
        <v>33</v>
      </c>
      <c r="C39" s="10">
        <f ca="1"/>
        <v>945</v>
      </c>
      <c r="D39" s="8" t="s">
        <v>1</v>
      </c>
      <c r="E39" s="8" t="s">
        <v>50</v>
      </c>
      <c r="F39" s="10">
        <f ca="1"/>
        <v>97</v>
      </c>
      <c r="G39" s="24"/>
      <c r="H39" s="30" t="str">
        <f ca="1"/>
        <v>Ή</v>
      </c>
      <c r="I39" s="31" t="str">
        <f ca="1"/>
        <v>H</v>
      </c>
      <c r="J39" s="32"/>
      <c r="L39" s="122"/>
      <c r="M39" s="122"/>
      <c r="N39" s="122"/>
      <c r="O39" s="122"/>
    </row>
    <row r="40" spans="2:15" x14ac:dyDescent="0.35">
      <c r="B40" s="10">
        <f ca="1"/>
        <v>34</v>
      </c>
      <c r="C40" s="10">
        <f ca="1"/>
        <v>946</v>
      </c>
      <c r="D40" s="8" t="s">
        <v>16</v>
      </c>
      <c r="E40" s="8" t="s">
        <v>55</v>
      </c>
      <c r="F40" s="10">
        <f ca="1"/>
        <v>98</v>
      </c>
      <c r="G40" s="24"/>
      <c r="H40" s="30" t="str">
        <f ca="1"/>
        <v>Θ</v>
      </c>
      <c r="I40" s="31">
        <f ca="1"/>
        <v>8</v>
      </c>
      <c r="J40" s="32"/>
      <c r="L40" s="122"/>
      <c r="M40" s="122"/>
      <c r="N40" s="122"/>
      <c r="O40" s="122"/>
    </row>
    <row r="41" spans="2:15" x14ac:dyDescent="0.35">
      <c r="B41" s="10">
        <f ca="1"/>
        <v>35</v>
      </c>
      <c r="C41" s="10">
        <f ca="1"/>
        <v>947</v>
      </c>
      <c r="D41" s="8" t="s">
        <v>81</v>
      </c>
      <c r="E41" s="8" t="s">
        <v>56</v>
      </c>
      <c r="F41" s="10">
        <f ca="1"/>
        <v>103</v>
      </c>
      <c r="G41" s="24"/>
      <c r="H41" s="30" t="str">
        <f ca="1"/>
        <v>θ</v>
      </c>
      <c r="I41" s="31">
        <f ca="1"/>
        <v>8</v>
      </c>
      <c r="J41" s="32"/>
      <c r="L41" s="122"/>
      <c r="M41" s="122"/>
      <c r="N41" s="122"/>
      <c r="O41" s="122"/>
    </row>
    <row r="42" spans="2:15" x14ac:dyDescent="0.35">
      <c r="B42" s="10">
        <f ca="1"/>
        <v>36</v>
      </c>
      <c r="C42" s="10">
        <f ca="1"/>
        <v>948</v>
      </c>
      <c r="D42" s="8" t="s">
        <v>82</v>
      </c>
      <c r="E42" s="8" t="s">
        <v>57</v>
      </c>
      <c r="F42" s="10">
        <f ca="1"/>
        <v>100</v>
      </c>
      <c r="G42" s="24"/>
      <c r="H42" s="30" t="str">
        <f ca="1"/>
        <v>Ι</v>
      </c>
      <c r="I42" s="31" t="str">
        <f ca="1"/>
        <v>I</v>
      </c>
      <c r="J42" s="32"/>
    </row>
    <row r="43" spans="2:15" x14ac:dyDescent="0.35">
      <c r="B43" s="10">
        <f ca="1"/>
        <v>37</v>
      </c>
      <c r="C43" s="10">
        <f ca="1"/>
        <v>949</v>
      </c>
      <c r="D43" s="8" t="s">
        <v>83</v>
      </c>
      <c r="E43" s="8" t="s">
        <v>51</v>
      </c>
      <c r="F43" s="10">
        <f ca="1"/>
        <v>101</v>
      </c>
      <c r="G43" s="24"/>
      <c r="H43" s="30" t="str">
        <f ca="1"/>
        <v>ι</v>
      </c>
      <c r="I43" s="31" t="str">
        <f ca="1"/>
        <v>i</v>
      </c>
      <c r="J43" s="32"/>
    </row>
    <row r="44" spans="2:15" x14ac:dyDescent="0.35">
      <c r="B44" s="10">
        <f ca="1"/>
        <v>38</v>
      </c>
      <c r="C44" s="10">
        <f ca="1"/>
        <v>950</v>
      </c>
      <c r="D44" s="8" t="s">
        <v>84</v>
      </c>
      <c r="E44" s="8" t="s">
        <v>58</v>
      </c>
      <c r="F44" s="10">
        <f ca="1"/>
        <v>122</v>
      </c>
      <c r="G44" s="24"/>
      <c r="H44" s="30" t="str">
        <f ca="1"/>
        <v>ί</v>
      </c>
      <c r="I44" s="31" t="str">
        <f ca="1"/>
        <v>i</v>
      </c>
      <c r="J44" s="32"/>
    </row>
    <row r="45" spans="2:15" x14ac:dyDescent="0.35">
      <c r="B45" s="10">
        <f ca="1"/>
        <v>39</v>
      </c>
      <c r="C45" s="10">
        <f ca="1"/>
        <v>951</v>
      </c>
      <c r="D45" s="8" t="s">
        <v>85</v>
      </c>
      <c r="E45" s="8" t="s">
        <v>52</v>
      </c>
      <c r="F45" s="10">
        <f ca="1"/>
        <v>104</v>
      </c>
      <c r="G45" s="24"/>
      <c r="H45" s="30" t="str">
        <f ca="1"/>
        <v>Ί</v>
      </c>
      <c r="I45" s="31" t="str">
        <f ca="1"/>
        <v>I</v>
      </c>
      <c r="J45" s="32"/>
    </row>
    <row r="46" spans="2:15" x14ac:dyDescent="0.35">
      <c r="B46" s="10">
        <f ca="1"/>
        <v>40</v>
      </c>
      <c r="C46" s="10">
        <f ca="1"/>
        <v>952</v>
      </c>
      <c r="D46" s="8" t="s">
        <v>86</v>
      </c>
      <c r="E46" s="8">
        <v>8</v>
      </c>
      <c r="F46" s="10">
        <f ca="1"/>
        <v>56</v>
      </c>
      <c r="G46" s="24"/>
      <c r="H46" s="30" t="str">
        <f ca="1"/>
        <v>Ϊ</v>
      </c>
      <c r="I46" s="31" t="str">
        <f ca="1"/>
        <v>I</v>
      </c>
      <c r="J46" s="32"/>
    </row>
    <row r="47" spans="2:15" x14ac:dyDescent="0.35">
      <c r="B47" s="10">
        <f ca="1"/>
        <v>41</v>
      </c>
      <c r="C47" s="10">
        <f ca="1"/>
        <v>953</v>
      </c>
      <c r="D47" s="8" t="s">
        <v>87</v>
      </c>
      <c r="E47" s="8" t="s">
        <v>53</v>
      </c>
      <c r="F47" s="10">
        <f ca="1"/>
        <v>105</v>
      </c>
      <c r="G47" s="24"/>
      <c r="H47" s="30" t="str">
        <f ca="1"/>
        <v>ϊ</v>
      </c>
      <c r="I47" s="31" t="str">
        <f ca="1"/>
        <v>i</v>
      </c>
      <c r="J47" s="32"/>
    </row>
    <row r="48" spans="2:15" x14ac:dyDescent="0.35">
      <c r="B48" s="10">
        <f ca="1"/>
        <v>42</v>
      </c>
      <c r="C48" s="10">
        <f ca="1"/>
        <v>954</v>
      </c>
      <c r="D48" s="8" t="s">
        <v>88</v>
      </c>
      <c r="E48" s="8" t="s">
        <v>59</v>
      </c>
      <c r="F48" s="10">
        <f ca="1"/>
        <v>107</v>
      </c>
      <c r="G48" s="24"/>
      <c r="H48" s="30" t="str">
        <f ca="1"/>
        <v>Ϊ</v>
      </c>
      <c r="I48" s="31" t="str">
        <f ca="1"/>
        <v>I</v>
      </c>
      <c r="J48" s="32"/>
    </row>
    <row r="49" spans="2:10" x14ac:dyDescent="0.35">
      <c r="B49" s="10">
        <f ca="1"/>
        <v>43</v>
      </c>
      <c r="C49" s="10">
        <f ca="1"/>
        <v>955</v>
      </c>
      <c r="D49" s="8" t="s">
        <v>89</v>
      </c>
      <c r="E49" s="8" t="s">
        <v>60</v>
      </c>
      <c r="F49" s="10">
        <f ca="1"/>
        <v>108</v>
      </c>
      <c r="G49" s="24"/>
      <c r="H49" s="30" t="str">
        <f ca="1"/>
        <v>Κ</v>
      </c>
      <c r="I49" s="31" t="str">
        <f ca="1"/>
        <v>K</v>
      </c>
      <c r="J49" s="32"/>
    </row>
    <row r="50" spans="2:10" x14ac:dyDescent="0.35">
      <c r="B50" s="10">
        <f ca="1"/>
        <v>44</v>
      </c>
      <c r="C50" s="10">
        <f ca="1"/>
        <v>956</v>
      </c>
      <c r="D50" s="8" t="s">
        <v>90</v>
      </c>
      <c r="E50" s="8" t="s">
        <v>61</v>
      </c>
      <c r="F50" s="10">
        <f ca="1"/>
        <v>109</v>
      </c>
      <c r="G50" s="24"/>
      <c r="H50" s="30" t="str">
        <f ca="1"/>
        <v>κ</v>
      </c>
      <c r="I50" s="31" t="str">
        <f ca="1"/>
        <v>k</v>
      </c>
      <c r="J50" s="32"/>
    </row>
    <row r="51" spans="2:10" x14ac:dyDescent="0.35">
      <c r="B51" s="10">
        <f ca="1"/>
        <v>45</v>
      </c>
      <c r="C51" s="10">
        <f ca="1"/>
        <v>957</v>
      </c>
      <c r="D51" s="8" t="s">
        <v>91</v>
      </c>
      <c r="E51" s="8" t="s">
        <v>62</v>
      </c>
      <c r="F51" s="10">
        <f ca="1"/>
        <v>110</v>
      </c>
      <c r="G51" s="24"/>
      <c r="H51" s="30" t="str">
        <f ca="1"/>
        <v>Λ</v>
      </c>
      <c r="I51" s="31" t="str">
        <f ca="1"/>
        <v>L</v>
      </c>
      <c r="J51" s="32"/>
    </row>
    <row r="52" spans="2:10" x14ac:dyDescent="0.35">
      <c r="B52" s="10">
        <f ca="1"/>
        <v>46</v>
      </c>
      <c r="C52" s="10">
        <f ca="1"/>
        <v>958</v>
      </c>
      <c r="D52" s="8" t="s">
        <v>92</v>
      </c>
      <c r="E52" s="8" t="s">
        <v>165</v>
      </c>
      <c r="F52" s="10">
        <f ca="1"/>
        <v>107</v>
      </c>
      <c r="G52" s="24"/>
      <c r="H52" s="30" t="str">
        <f ca="1"/>
        <v>λ</v>
      </c>
      <c r="I52" s="31" t="str">
        <f ca="1"/>
        <v>l</v>
      </c>
      <c r="J52" s="32"/>
    </row>
    <row r="53" spans="2:10" x14ac:dyDescent="0.35">
      <c r="B53" s="10">
        <f ca="1"/>
        <v>47</v>
      </c>
      <c r="C53" s="10">
        <f ca="1"/>
        <v>959</v>
      </c>
      <c r="D53" s="8" t="s">
        <v>93</v>
      </c>
      <c r="E53" s="8" t="s">
        <v>64</v>
      </c>
      <c r="F53" s="10">
        <f ca="1"/>
        <v>111</v>
      </c>
      <c r="G53" s="24"/>
      <c r="H53" s="30" t="str">
        <f ca="1"/>
        <v>Μ</v>
      </c>
      <c r="I53" s="31" t="str">
        <f ca="1"/>
        <v>M</v>
      </c>
      <c r="J53" s="32"/>
    </row>
    <row r="54" spans="2:10" x14ac:dyDescent="0.35">
      <c r="B54" s="10">
        <f ca="1"/>
        <v>48</v>
      </c>
      <c r="C54" s="10">
        <f ca="1"/>
        <v>960</v>
      </c>
      <c r="D54" s="8" t="s">
        <v>94</v>
      </c>
      <c r="E54" s="8" t="s">
        <v>65</v>
      </c>
      <c r="F54" s="10">
        <f ca="1"/>
        <v>112</v>
      </c>
      <c r="G54" s="24"/>
      <c r="H54" s="30" t="str">
        <f ca="1"/>
        <v>μ</v>
      </c>
      <c r="I54" s="31" t="str">
        <f ca="1"/>
        <v>m</v>
      </c>
      <c r="J54" s="32"/>
    </row>
    <row r="55" spans="2:10" x14ac:dyDescent="0.35">
      <c r="B55" s="10">
        <f ca="1"/>
        <v>49</v>
      </c>
      <c r="C55" s="10">
        <f ca="1"/>
        <v>961</v>
      </c>
      <c r="D55" s="8" t="s">
        <v>95</v>
      </c>
      <c r="E55" s="8" t="s">
        <v>66</v>
      </c>
      <c r="F55" s="10">
        <f ca="1"/>
        <v>114</v>
      </c>
      <c r="G55" s="24"/>
      <c r="H55" s="30" t="str">
        <f ca="1"/>
        <v>Ν</v>
      </c>
      <c r="I55" s="31" t="str">
        <f ca="1"/>
        <v>N</v>
      </c>
      <c r="J55" s="32"/>
    </row>
    <row r="56" spans="2:10" x14ac:dyDescent="0.35">
      <c r="B56" s="10">
        <f ca="1"/>
        <v>50</v>
      </c>
      <c r="C56" s="10">
        <f ca="1"/>
        <v>962</v>
      </c>
      <c r="D56" s="8" t="s">
        <v>96</v>
      </c>
      <c r="E56" s="8" t="s">
        <v>67</v>
      </c>
      <c r="F56" s="10">
        <f ca="1"/>
        <v>115</v>
      </c>
      <c r="G56" s="24"/>
      <c r="H56" s="30" t="str">
        <f ca="1"/>
        <v>ν</v>
      </c>
      <c r="I56" s="31" t="str">
        <f ca="1"/>
        <v>n</v>
      </c>
      <c r="J56" s="32"/>
    </row>
    <row r="57" spans="2:10" x14ac:dyDescent="0.35">
      <c r="B57" s="10">
        <f ca="1"/>
        <v>51</v>
      </c>
      <c r="C57" s="10">
        <f ca="1"/>
        <v>963</v>
      </c>
      <c r="D57" s="8" t="s">
        <v>97</v>
      </c>
      <c r="E57" s="8" t="s">
        <v>67</v>
      </c>
      <c r="F57" s="10">
        <f ca="1"/>
        <v>115</v>
      </c>
      <c r="G57" s="24"/>
      <c r="H57" s="30" t="str">
        <f ca="1"/>
        <v>Ξ</v>
      </c>
      <c r="I57" s="31" t="str">
        <f ca="1"/>
        <v>Ks</v>
      </c>
      <c r="J57" s="32"/>
    </row>
    <row r="58" spans="2:10" x14ac:dyDescent="0.35">
      <c r="B58" s="10">
        <f ca="1"/>
        <v>52</v>
      </c>
      <c r="C58" s="10">
        <f ca="1"/>
        <v>964</v>
      </c>
      <c r="D58" s="8" t="s">
        <v>98</v>
      </c>
      <c r="E58" s="8" t="s">
        <v>68</v>
      </c>
      <c r="F58" s="10">
        <f ca="1"/>
        <v>116</v>
      </c>
      <c r="G58" s="24"/>
      <c r="H58" s="30" t="str">
        <f ca="1"/>
        <v>ξ</v>
      </c>
      <c r="I58" s="31" t="str">
        <f ca="1"/>
        <v>ks</v>
      </c>
      <c r="J58" s="32"/>
    </row>
    <row r="59" spans="2:10" x14ac:dyDescent="0.35">
      <c r="B59" s="10">
        <f ca="1"/>
        <v>53</v>
      </c>
      <c r="C59" s="10">
        <f ca="1"/>
        <v>965</v>
      </c>
      <c r="D59" s="8" t="s">
        <v>99</v>
      </c>
      <c r="E59" s="8" t="s">
        <v>54</v>
      </c>
      <c r="F59" s="10">
        <f ca="1"/>
        <v>117</v>
      </c>
      <c r="G59" s="24"/>
      <c r="H59" s="30" t="str">
        <f ca="1"/>
        <v>Ο</v>
      </c>
      <c r="I59" s="31" t="str">
        <f ca="1"/>
        <v>O</v>
      </c>
      <c r="J59" s="32"/>
    </row>
    <row r="60" spans="2:10" x14ac:dyDescent="0.35">
      <c r="B60" s="10">
        <f ca="1"/>
        <v>54</v>
      </c>
      <c r="C60" s="10">
        <f ca="1"/>
        <v>966</v>
      </c>
      <c r="D60" s="8" t="s">
        <v>100</v>
      </c>
      <c r="E60" s="8" t="s">
        <v>69</v>
      </c>
      <c r="F60" s="10">
        <f ca="1"/>
        <v>102</v>
      </c>
      <c r="G60" s="24"/>
      <c r="H60" s="30" t="str">
        <f ca="1"/>
        <v>ο</v>
      </c>
      <c r="I60" s="31" t="str">
        <f ca="1"/>
        <v>o</v>
      </c>
      <c r="J60" s="32"/>
    </row>
    <row r="61" spans="2:10" x14ac:dyDescent="0.35">
      <c r="B61" s="10">
        <f ca="1"/>
        <v>55</v>
      </c>
      <c r="C61" s="10">
        <f ca="1"/>
        <v>967</v>
      </c>
      <c r="D61" s="8" t="s">
        <v>101</v>
      </c>
      <c r="E61" s="8" t="s">
        <v>63</v>
      </c>
      <c r="F61" s="10">
        <f ca="1"/>
        <v>120</v>
      </c>
      <c r="G61" s="24"/>
      <c r="H61" s="30" t="str">
        <f ca="1"/>
        <v>ό</v>
      </c>
      <c r="I61" s="31" t="str">
        <f ca="1"/>
        <v>o</v>
      </c>
      <c r="J61" s="32"/>
    </row>
    <row r="62" spans="2:10" x14ac:dyDescent="0.35">
      <c r="B62" s="10">
        <f ca="1"/>
        <v>56</v>
      </c>
      <c r="C62" s="10">
        <f ca="1"/>
        <v>968</v>
      </c>
      <c r="D62" s="8" t="s">
        <v>17</v>
      </c>
      <c r="E62" s="8" t="s">
        <v>145</v>
      </c>
      <c r="F62" s="10">
        <f ca="1"/>
        <v>112</v>
      </c>
      <c r="G62" s="24"/>
      <c r="H62" s="30" t="str">
        <f ca="1"/>
        <v>Ό</v>
      </c>
      <c r="I62" s="31" t="str">
        <f ca="1"/>
        <v>O</v>
      </c>
      <c r="J62" s="32"/>
    </row>
    <row r="63" spans="2:10" x14ac:dyDescent="0.35">
      <c r="B63" s="10">
        <f ca="1"/>
        <v>57</v>
      </c>
      <c r="C63" s="10">
        <f ca="1"/>
        <v>969</v>
      </c>
      <c r="D63" s="8" t="s">
        <v>18</v>
      </c>
      <c r="E63" s="8" t="s">
        <v>70</v>
      </c>
      <c r="F63" s="10">
        <f ca="1"/>
        <v>119</v>
      </c>
      <c r="G63" s="24"/>
      <c r="H63" s="30" t="str">
        <f ca="1"/>
        <v>Π</v>
      </c>
      <c r="I63" s="31" t="str">
        <f ca="1"/>
        <v>P</v>
      </c>
      <c r="J63" s="32"/>
    </row>
    <row r="64" spans="2:10" x14ac:dyDescent="0.35">
      <c r="B64" s="10">
        <f ca="1"/>
        <v>58</v>
      </c>
      <c r="C64" s="10">
        <f ca="1"/>
        <v>974</v>
      </c>
      <c r="D64" s="8" t="s">
        <v>106</v>
      </c>
      <c r="E64" s="8" t="s">
        <v>70</v>
      </c>
      <c r="F64" s="10">
        <f ca="1"/>
        <v>119</v>
      </c>
      <c r="G64" s="24"/>
      <c r="H64" s="30" t="str">
        <f ca="1"/>
        <v>π</v>
      </c>
      <c r="I64" s="31" t="str">
        <f ca="1"/>
        <v>p</v>
      </c>
      <c r="J64" s="32"/>
    </row>
    <row r="65" spans="2:10" x14ac:dyDescent="0.35">
      <c r="B65" s="10">
        <f ca="1"/>
        <v>59</v>
      </c>
      <c r="C65" s="10">
        <f ca="1"/>
        <v>970</v>
      </c>
      <c r="D65" s="8" t="s">
        <v>27</v>
      </c>
      <c r="E65" s="8" t="s">
        <v>53</v>
      </c>
      <c r="F65" s="10">
        <f ca="1"/>
        <v>105</v>
      </c>
      <c r="G65" s="24"/>
      <c r="H65" s="30" t="str">
        <f ca="1"/>
        <v>Ρ</v>
      </c>
      <c r="I65" s="31" t="str">
        <f ca="1"/>
        <v>R</v>
      </c>
      <c r="J65" s="32"/>
    </row>
    <row r="66" spans="2:10" x14ac:dyDescent="0.35">
      <c r="B66" s="10">
        <f ca="1"/>
        <v>60</v>
      </c>
      <c r="C66" s="10">
        <f ca="1"/>
        <v>971</v>
      </c>
      <c r="D66" s="8" t="s">
        <v>102</v>
      </c>
      <c r="E66" s="8" t="s">
        <v>54</v>
      </c>
      <c r="F66" s="10">
        <f ca="1"/>
        <v>117</v>
      </c>
      <c r="G66" s="24"/>
      <c r="H66" s="30" t="str">
        <f ca="1"/>
        <v>ρ</v>
      </c>
      <c r="I66" s="31" t="str">
        <f ca="1"/>
        <v>r</v>
      </c>
      <c r="J66" s="32"/>
    </row>
    <row r="67" spans="2:10" x14ac:dyDescent="0.35">
      <c r="B67" s="10">
        <f ca="1"/>
        <v>61</v>
      </c>
      <c r="C67" s="10">
        <f ca="1"/>
        <v>972</v>
      </c>
      <c r="D67" s="8" t="s">
        <v>26</v>
      </c>
      <c r="E67" s="8" t="s">
        <v>64</v>
      </c>
      <c r="F67" s="10">
        <f ca="1"/>
        <v>111</v>
      </c>
      <c r="G67" s="24"/>
      <c r="H67" s="30" t="str">
        <f ca="1"/>
        <v>Σ</v>
      </c>
      <c r="I67" s="31" t="str">
        <f ca="1"/>
        <v>S</v>
      </c>
      <c r="J67" s="32"/>
    </row>
    <row r="68" spans="2:10" x14ac:dyDescent="0.35">
      <c r="B68" s="10">
        <f ca="1"/>
        <v>62</v>
      </c>
      <c r="C68" s="10">
        <f ca="1"/>
        <v>973</v>
      </c>
      <c r="D68" s="8" t="s">
        <v>24</v>
      </c>
      <c r="E68" s="8" t="s">
        <v>54</v>
      </c>
      <c r="F68" s="10">
        <f ca="1"/>
        <v>117</v>
      </c>
      <c r="G68" s="24"/>
      <c r="H68" s="30" t="str">
        <f ca="1"/>
        <v>ς</v>
      </c>
      <c r="I68" s="31" t="str">
        <f ca="1"/>
        <v>s</v>
      </c>
      <c r="J68" s="32"/>
    </row>
    <row r="69" spans="2:10" x14ac:dyDescent="0.35">
      <c r="B69" s="10">
        <f ca="1"/>
        <v>63</v>
      </c>
      <c r="C69" s="10">
        <f ca="1"/>
        <v>93</v>
      </c>
      <c r="D69" s="8" t="s">
        <v>119</v>
      </c>
      <c r="E69" s="8" t="s">
        <v>121</v>
      </c>
      <c r="F69" s="10">
        <f ca="1"/>
        <v>32</v>
      </c>
      <c r="G69" s="24"/>
      <c r="H69" s="30" t="str">
        <f ca="1"/>
        <v>σ</v>
      </c>
      <c r="I69" s="31" t="str">
        <f ca="1"/>
        <v>s</v>
      </c>
      <c r="J69" s="32"/>
    </row>
    <row r="70" spans="2:10" x14ac:dyDescent="0.35">
      <c r="B70" s="10">
        <f ca="1"/>
        <v>64</v>
      </c>
      <c r="C70" s="10">
        <f ca="1"/>
        <v>91</v>
      </c>
      <c r="D70" s="8" t="s">
        <v>120</v>
      </c>
      <c r="E70" s="8" t="s">
        <v>113</v>
      </c>
      <c r="F70" s="10">
        <f ca="1"/>
        <v>45</v>
      </c>
      <c r="G70" s="24"/>
      <c r="H70" s="30" t="str">
        <f ca="1"/>
        <v>Τ</v>
      </c>
      <c r="I70" s="31" t="str">
        <f ca="1"/>
        <v>T</v>
      </c>
      <c r="J70" s="32"/>
    </row>
    <row r="71" spans="2:10" x14ac:dyDescent="0.35">
      <c r="B71" s="10">
        <f ca="1"/>
        <v>65</v>
      </c>
      <c r="C71" s="10">
        <f ca="1"/>
        <v>37</v>
      </c>
      <c r="D71" s="8" t="s">
        <v>130</v>
      </c>
      <c r="E71" s="8" t="s">
        <v>121</v>
      </c>
      <c r="F71" s="10">
        <f ca="1"/>
        <v>32</v>
      </c>
      <c r="G71" s="24"/>
      <c r="H71" s="30" t="str">
        <f ca="1"/>
        <v>τ</v>
      </c>
      <c r="I71" s="31" t="str">
        <f ca="1"/>
        <v>t</v>
      </c>
      <c r="J71" s="32"/>
    </row>
    <row r="72" spans="2:10" x14ac:dyDescent="0.35">
      <c r="B72" s="10">
        <f ca="1"/>
        <v>66</v>
      </c>
      <c r="C72" s="10">
        <f ca="1"/>
        <v>904</v>
      </c>
      <c r="D72" s="8" t="s">
        <v>140</v>
      </c>
      <c r="E72" s="8" t="s">
        <v>33</v>
      </c>
      <c r="F72" s="10">
        <f ca="1"/>
        <v>69</v>
      </c>
      <c r="G72" s="24"/>
      <c r="H72" s="30" t="str">
        <f ca="1"/>
        <v>Υ</v>
      </c>
      <c r="I72" s="31" t="str">
        <f ca="1"/>
        <v>U</v>
      </c>
      <c r="J72" s="32"/>
    </row>
    <row r="73" spans="2:10" x14ac:dyDescent="0.35">
      <c r="B73" s="10">
        <f ca="1"/>
        <v>67</v>
      </c>
      <c r="C73" s="10">
        <f ca="1"/>
        <v>910</v>
      </c>
      <c r="D73" s="8" t="s">
        <v>141</v>
      </c>
      <c r="E73" s="8" t="s">
        <v>103</v>
      </c>
      <c r="F73" s="10">
        <f ca="1"/>
        <v>85</v>
      </c>
      <c r="G73" s="24"/>
      <c r="H73" s="30" t="str">
        <f ca="1"/>
        <v>υ</v>
      </c>
      <c r="I73" s="31" t="str">
        <f ca="1"/>
        <v>u</v>
      </c>
      <c r="J73" s="32"/>
    </row>
    <row r="74" spans="2:10" x14ac:dyDescent="0.35">
      <c r="B74" s="10">
        <f ca="1"/>
        <v>68</v>
      </c>
      <c r="C74" s="10">
        <f ca="1"/>
        <v>908</v>
      </c>
      <c r="D74" s="8" t="s">
        <v>142</v>
      </c>
      <c r="E74" s="8" t="s">
        <v>42</v>
      </c>
      <c r="F74" s="10">
        <f ca="1"/>
        <v>79</v>
      </c>
      <c r="G74" s="24"/>
      <c r="H74" s="30" t="str">
        <f ca="1"/>
        <v>ύ</v>
      </c>
      <c r="I74" s="31" t="str">
        <f ca="1"/>
        <v>u</v>
      </c>
      <c r="J74" s="32"/>
    </row>
    <row r="75" spans="2:10" x14ac:dyDescent="0.35">
      <c r="B75" s="10">
        <f ca="1"/>
        <v>69</v>
      </c>
      <c r="C75" s="10">
        <f ca="1"/>
        <v>906</v>
      </c>
      <c r="D75" s="8" t="s">
        <v>143</v>
      </c>
      <c r="E75" s="8" t="s">
        <v>36</v>
      </c>
      <c r="F75" s="10">
        <f ca="1"/>
        <v>73</v>
      </c>
      <c r="G75" s="24"/>
      <c r="H75" s="30" t="str">
        <f ca="1"/>
        <v>Ύ</v>
      </c>
      <c r="I75" s="31" t="str">
        <f ca="1"/>
        <v>U</v>
      </c>
      <c r="J75" s="32"/>
    </row>
    <row r="76" spans="2:10" x14ac:dyDescent="0.35">
      <c r="B76" s="10">
        <f ca="1"/>
        <v>70</v>
      </c>
      <c r="C76" s="10">
        <f ca="1"/>
        <v>905</v>
      </c>
      <c r="D76" s="8" t="s">
        <v>144</v>
      </c>
      <c r="E76" s="8" t="s">
        <v>35</v>
      </c>
      <c r="F76" s="10">
        <f ca="1"/>
        <v>72</v>
      </c>
      <c r="G76" s="24"/>
      <c r="H76" s="30" t="str">
        <f ca="1"/>
        <v>Ϋ</v>
      </c>
      <c r="I76" s="31" t="str">
        <f ca="1"/>
        <v>Y</v>
      </c>
      <c r="J76" s="32"/>
    </row>
    <row r="77" spans="2:10" x14ac:dyDescent="0.35">
      <c r="B77" s="10">
        <f ca="1"/>
        <v>71</v>
      </c>
      <c r="C77" s="10">
        <f ca="1"/>
        <v>938</v>
      </c>
      <c r="D77" s="8" t="s">
        <v>28</v>
      </c>
      <c r="E77" s="8" t="s">
        <v>36</v>
      </c>
      <c r="F77" s="10">
        <f ca="1"/>
        <v>73</v>
      </c>
      <c r="G77" s="24"/>
      <c r="H77" s="30" t="str">
        <f ca="1"/>
        <v>ϋ</v>
      </c>
      <c r="I77" s="31" t="str">
        <f ca="1"/>
        <v>u</v>
      </c>
      <c r="J77" s="32"/>
    </row>
    <row r="78" spans="2:10" x14ac:dyDescent="0.35">
      <c r="B78" s="10">
        <f ca="1"/>
        <v>72</v>
      </c>
      <c r="C78" s="10">
        <f ca="1"/>
        <v>939</v>
      </c>
      <c r="D78" s="8" t="s">
        <v>79</v>
      </c>
      <c r="E78" s="8" t="s">
        <v>103</v>
      </c>
      <c r="F78" s="10">
        <f ca="1"/>
        <v>85</v>
      </c>
      <c r="G78" s="24"/>
      <c r="H78" s="30" t="str">
        <f ca="1"/>
        <v>Ϋ</v>
      </c>
      <c r="I78" s="31" t="str">
        <f ca="1"/>
        <v>U</v>
      </c>
      <c r="J78" s="32"/>
    </row>
    <row r="79" spans="2:10" x14ac:dyDescent="0.35">
      <c r="B79" s="10">
        <f ca="1"/>
        <v>73</v>
      </c>
      <c r="C79" s="10">
        <f ca="1"/>
        <v>169</v>
      </c>
      <c r="D79" s="8" t="s">
        <v>146</v>
      </c>
      <c r="E79" s="8" t="s">
        <v>121</v>
      </c>
      <c r="F79" s="10">
        <f ca="1"/>
        <v>32</v>
      </c>
      <c r="G79" s="24"/>
      <c r="H79" s="30" t="str">
        <f ca="1"/>
        <v>ΰ</v>
      </c>
      <c r="I79" s="31" t="str">
        <f ca="1"/>
        <v>u</v>
      </c>
      <c r="J79" s="32"/>
    </row>
    <row r="80" spans="2:10" x14ac:dyDescent="0.35">
      <c r="B80" s="10">
        <f ca="1"/>
        <v>74</v>
      </c>
      <c r="C80" s="10">
        <f ca="1"/>
        <v>170</v>
      </c>
      <c r="D80" s="8" t="s">
        <v>147</v>
      </c>
      <c r="E80" s="8" t="s">
        <v>121</v>
      </c>
      <c r="F80" s="10">
        <f ca="1"/>
        <v>32</v>
      </c>
      <c r="G80" s="24"/>
      <c r="H80" s="30" t="str">
        <f ca="1"/>
        <v>Φ</v>
      </c>
      <c r="I80" s="31" t="str">
        <f ca="1"/>
        <v>F</v>
      </c>
      <c r="J80" s="32"/>
    </row>
    <row r="81" spans="2:10" x14ac:dyDescent="0.35">
      <c r="B81" s="10">
        <f ca="1"/>
        <v>75</v>
      </c>
      <c r="C81" s="10">
        <f ca="1"/>
        <v>181</v>
      </c>
      <c r="D81" s="8" t="s">
        <v>148</v>
      </c>
      <c r="E81" s="8" t="s">
        <v>121</v>
      </c>
      <c r="F81" s="10">
        <f ca="1"/>
        <v>32</v>
      </c>
      <c r="G81" s="24"/>
      <c r="H81" s="30" t="str">
        <f ca="1"/>
        <v>φ</v>
      </c>
      <c r="I81" s="31" t="str">
        <f ca="1"/>
        <v>f</v>
      </c>
      <c r="J81" s="32"/>
    </row>
    <row r="82" spans="2:10" x14ac:dyDescent="0.35">
      <c r="B82" s="10">
        <f ca="1"/>
        <v>76</v>
      </c>
      <c r="C82" s="10">
        <f ca="1"/>
        <v>8747</v>
      </c>
      <c r="D82" s="8" t="s">
        <v>149</v>
      </c>
      <c r="E82" s="8" t="s">
        <v>121</v>
      </c>
      <c r="F82" s="10">
        <f ca="1"/>
        <v>32</v>
      </c>
      <c r="G82" s="24"/>
      <c r="H82" s="30" t="str">
        <f ca="1"/>
        <v>Χ</v>
      </c>
      <c r="I82" s="31" t="str">
        <f ca="1"/>
        <v>X</v>
      </c>
      <c r="J82" s="32"/>
    </row>
    <row r="83" spans="2:10" x14ac:dyDescent="0.35">
      <c r="B83" s="10">
        <f ca="1"/>
        <v>77</v>
      </c>
      <c r="C83" s="10">
        <f ca="1"/>
        <v>201</v>
      </c>
      <c r="D83" s="8" t="s">
        <v>150</v>
      </c>
      <c r="E83" s="8" t="s">
        <v>121</v>
      </c>
      <c r="F83" s="10">
        <f ca="1"/>
        <v>32</v>
      </c>
      <c r="G83" s="24"/>
      <c r="H83" s="30" t="str">
        <f ca="1"/>
        <v>χ</v>
      </c>
      <c r="I83" s="31" t="str">
        <f ca="1"/>
        <v>x</v>
      </c>
      <c r="J83" s="32"/>
    </row>
    <row r="84" spans="2:10" x14ac:dyDescent="0.35">
      <c r="B84" s="10">
        <f ca="1"/>
        <v>78</v>
      </c>
      <c r="C84" s="10">
        <f ca="1"/>
        <v>8719</v>
      </c>
      <c r="D84" s="8" t="s">
        <v>151</v>
      </c>
      <c r="E84" s="8" t="s">
        <v>121</v>
      </c>
      <c r="F84" s="10">
        <f ca="1"/>
        <v>32</v>
      </c>
      <c r="G84" s="24"/>
      <c r="H84" s="30" t="str">
        <f ca="1"/>
        <v>Ψ</v>
      </c>
      <c r="I84" s="31" t="str">
        <f ca="1"/>
        <v>Ps</v>
      </c>
      <c r="J84" s="32"/>
    </row>
    <row r="85" spans="2:10" x14ac:dyDescent="0.35">
      <c r="B85" s="10">
        <f ca="1"/>
        <v>79</v>
      </c>
      <c r="C85" s="10">
        <f ca="1"/>
        <v>8211</v>
      </c>
      <c r="D85" s="8" t="s">
        <v>152</v>
      </c>
      <c r="E85" s="8" t="s">
        <v>121</v>
      </c>
      <c r="F85" s="10">
        <f ca="1"/>
        <v>32</v>
      </c>
      <c r="G85" s="24"/>
      <c r="H85" s="30" t="str">
        <f ca="1"/>
        <v>ψ</v>
      </c>
      <c r="I85" s="31" t="str">
        <f ca="1"/>
        <v>ps</v>
      </c>
      <c r="J85" s="32"/>
    </row>
    <row r="86" spans="2:10" x14ac:dyDescent="0.35">
      <c r="B86" s="10">
        <f ca="1"/>
        <v>80</v>
      </c>
      <c r="C86" s="10">
        <f ca="1"/>
        <v>8212</v>
      </c>
      <c r="D86" s="8" t="s">
        <v>153</v>
      </c>
      <c r="E86" s="8" t="s">
        <v>121</v>
      </c>
      <c r="F86" s="10">
        <f ca="1"/>
        <v>32</v>
      </c>
      <c r="G86" s="24"/>
      <c r="H86" s="30" t="str">
        <f ca="1"/>
        <v>Ω</v>
      </c>
      <c r="I86" s="31" t="str">
        <f ca="1"/>
        <v>W</v>
      </c>
      <c r="J86" s="32"/>
    </row>
    <row r="87" spans="2:10" x14ac:dyDescent="0.35">
      <c r="B87" s="10">
        <f ca="1"/>
        <v>81</v>
      </c>
      <c r="C87" s="10">
        <f ca="1"/>
        <v>8482</v>
      </c>
      <c r="D87" s="8" t="s">
        <v>159</v>
      </c>
      <c r="E87" s="8" t="s">
        <v>121</v>
      </c>
      <c r="F87" s="10">
        <f ca="1"/>
        <v>32</v>
      </c>
      <c r="G87" s="24"/>
      <c r="H87" s="30" t="str">
        <f ca="1"/>
        <v>ω</v>
      </c>
      <c r="I87" s="31" t="str">
        <f ca="1"/>
        <v>w</v>
      </c>
      <c r="J87" s="32"/>
    </row>
    <row r="88" spans="2:10" x14ac:dyDescent="0.35">
      <c r="B88" s="10">
        <f ca="1"/>
        <v>82</v>
      </c>
      <c r="C88" s="10">
        <f ca="1"/>
        <v>126</v>
      </c>
      <c r="D88" s="8" t="s">
        <v>160</v>
      </c>
      <c r="E88" s="8" t="s">
        <v>50</v>
      </c>
      <c r="F88" s="10">
        <f ca="1"/>
        <v>97</v>
      </c>
      <c r="G88" s="24"/>
      <c r="H88" s="30" t="str">
        <f ca="1"/>
        <v>ώ</v>
      </c>
      <c r="I88" s="31" t="str">
        <f ca="1"/>
        <v>w</v>
      </c>
      <c r="J88" s="32"/>
    </row>
    <row r="89" spans="2:10" x14ac:dyDescent="0.35">
      <c r="B89" s="10"/>
      <c r="C89" s="10"/>
      <c r="D89" s="8"/>
      <c r="E89" s="8"/>
      <c r="F89" s="10"/>
      <c r="G89" s="24"/>
      <c r="H89" s="30"/>
      <c r="I89" s="31"/>
      <c r="J89" s="32"/>
    </row>
    <row r="90" spans="2:10" x14ac:dyDescent="0.35">
      <c r="B90" s="10"/>
      <c r="C90" s="10"/>
      <c r="D90" s="8"/>
      <c r="E90" s="8"/>
      <c r="F90" s="10"/>
      <c r="G90" s="24"/>
      <c r="H90" s="30"/>
      <c r="I90" s="31"/>
      <c r="J90" s="32"/>
    </row>
    <row r="91" spans="2:10" x14ac:dyDescent="0.35">
      <c r="B91" s="10"/>
      <c r="C91" s="10"/>
      <c r="D91" s="8"/>
      <c r="E91" s="8"/>
      <c r="F91" s="10"/>
      <c r="G91" s="24"/>
      <c r="H91" s="30"/>
      <c r="I91" s="31"/>
      <c r="J91" s="32"/>
    </row>
    <row r="92" spans="2:10" x14ac:dyDescent="0.35">
      <c r="B92" s="10"/>
      <c r="C92" s="10"/>
      <c r="D92" s="8"/>
      <c r="E92" s="8"/>
      <c r="F92" s="10"/>
      <c r="G92" s="24"/>
      <c r="H92" s="30"/>
      <c r="I92" s="31"/>
      <c r="J92" s="32"/>
    </row>
    <row r="93" spans="2:10" x14ac:dyDescent="0.35">
      <c r="B93" s="10"/>
      <c r="C93" s="10"/>
      <c r="D93" s="8"/>
      <c r="E93" s="8"/>
      <c r="F93" s="10"/>
      <c r="G93" s="24"/>
      <c r="H93" s="30"/>
      <c r="I93" s="31"/>
      <c r="J93" s="32"/>
    </row>
    <row r="94" spans="2:10" x14ac:dyDescent="0.35">
      <c r="B94" s="10"/>
      <c r="C94" s="10"/>
      <c r="D94" s="8"/>
      <c r="E94" s="8"/>
      <c r="F94" s="10"/>
      <c r="G94" s="24"/>
      <c r="H94" s="30"/>
      <c r="I94" s="31"/>
      <c r="J94" s="32"/>
    </row>
    <row r="95" spans="2:10" x14ac:dyDescent="0.35">
      <c r="B95" s="10"/>
      <c r="C95" s="10"/>
      <c r="D95" s="8"/>
      <c r="E95" s="8"/>
      <c r="F95" s="10"/>
      <c r="G95" s="24"/>
      <c r="H95" s="30"/>
      <c r="I95" s="31"/>
      <c r="J95" s="32"/>
    </row>
    <row r="96" spans="2:10" x14ac:dyDescent="0.35">
      <c r="B96" s="10"/>
      <c r="C96" s="10"/>
      <c r="D96" s="8"/>
      <c r="E96" s="8"/>
      <c r="F96" s="10"/>
      <c r="G96" s="24"/>
      <c r="H96" s="30"/>
      <c r="I96" s="31"/>
      <c r="J96" s="32"/>
    </row>
    <row r="97" spans="2:10" x14ac:dyDescent="0.35">
      <c r="B97" s="10"/>
      <c r="C97" s="10"/>
      <c r="D97" s="8"/>
      <c r="E97" s="8"/>
      <c r="F97" s="10"/>
      <c r="G97" s="24"/>
      <c r="H97" s="30"/>
      <c r="I97" s="31"/>
      <c r="J97" s="32"/>
    </row>
    <row r="98" spans="2:10" x14ac:dyDescent="0.35">
      <c r="B98" s="10"/>
      <c r="C98" s="10"/>
      <c r="D98" s="8"/>
      <c r="E98" s="8"/>
      <c r="F98" s="10"/>
      <c r="G98" s="24"/>
      <c r="H98" s="30"/>
      <c r="I98" s="31"/>
      <c r="J98" s="32"/>
    </row>
    <row r="99" spans="2:10" x14ac:dyDescent="0.35">
      <c r="B99" s="10"/>
      <c r="C99" s="10"/>
      <c r="D99" s="8"/>
      <c r="E99" s="8"/>
      <c r="F99" s="10"/>
      <c r="G99" s="24"/>
      <c r="H99" s="30"/>
      <c r="I99" s="31"/>
      <c r="J99" s="32"/>
    </row>
    <row r="100" spans="2:10" x14ac:dyDescent="0.35">
      <c r="B100" s="10"/>
      <c r="C100" s="10"/>
      <c r="D100" s="8"/>
      <c r="E100" s="8"/>
      <c r="F100" s="10"/>
      <c r="G100" s="24"/>
      <c r="H100" s="30"/>
      <c r="I100" s="31"/>
      <c r="J100" s="32"/>
    </row>
    <row r="101" spans="2:10" x14ac:dyDescent="0.35">
      <c r="B101" s="10"/>
      <c r="C101" s="10"/>
      <c r="D101" s="8"/>
      <c r="E101" s="8"/>
      <c r="F101" s="10"/>
      <c r="G101" s="24"/>
      <c r="H101" s="30"/>
      <c r="I101" s="31"/>
      <c r="J101" s="32"/>
    </row>
    <row r="102" spans="2:10" x14ac:dyDescent="0.35">
      <c r="B102" s="10"/>
      <c r="C102" s="10"/>
      <c r="D102" s="8"/>
      <c r="E102" s="8"/>
      <c r="F102" s="10"/>
      <c r="G102" s="24"/>
      <c r="H102" s="30"/>
      <c r="I102" s="31"/>
      <c r="J102" s="32"/>
    </row>
    <row r="103" spans="2:10" x14ac:dyDescent="0.35">
      <c r="B103" s="10"/>
      <c r="C103" s="10"/>
      <c r="D103" s="8"/>
      <c r="E103" s="8"/>
      <c r="F103" s="10"/>
      <c r="G103" s="24"/>
      <c r="H103" s="30"/>
      <c r="I103" s="31"/>
      <c r="J103" s="32"/>
    </row>
    <row r="104" spans="2:10" x14ac:dyDescent="0.35">
      <c r="B104" s="10"/>
      <c r="C104" s="10"/>
      <c r="D104" s="8"/>
      <c r="E104" s="8"/>
      <c r="F104" s="10"/>
      <c r="G104" s="24"/>
      <c r="H104" s="30"/>
      <c r="I104" s="31"/>
      <c r="J104" s="32"/>
    </row>
    <row r="105" spans="2:10" x14ac:dyDescent="0.35">
      <c r="B105" s="10"/>
      <c r="C105" s="10"/>
      <c r="D105" s="8"/>
      <c r="E105" s="8"/>
      <c r="F105" s="10"/>
      <c r="G105" s="24"/>
      <c r="H105" s="30"/>
      <c r="I105" s="31"/>
      <c r="J105" s="32"/>
    </row>
    <row r="106" spans="2:10" x14ac:dyDescent="0.35">
      <c r="B106" s="10"/>
      <c r="C106" s="10"/>
      <c r="D106" s="8"/>
      <c r="E106" s="8"/>
      <c r="F106" s="10"/>
      <c r="G106" s="24"/>
      <c r="H106" s="30"/>
      <c r="I106" s="31"/>
      <c r="J106" s="32"/>
    </row>
    <row r="107" spans="2:10" x14ac:dyDescent="0.35">
      <c r="B107" s="10"/>
      <c r="C107" s="10"/>
      <c r="D107" s="8"/>
      <c r="E107" s="8"/>
      <c r="F107" s="10"/>
      <c r="G107" s="24"/>
      <c r="H107" s="30"/>
      <c r="I107" s="31"/>
      <c r="J107" s="32"/>
    </row>
    <row r="108" spans="2:10" x14ac:dyDescent="0.35">
      <c r="B108" s="10"/>
      <c r="C108" s="10"/>
      <c r="D108" s="8"/>
      <c r="E108" s="8"/>
      <c r="F108" s="10"/>
      <c r="G108" s="24"/>
      <c r="H108" s="30"/>
      <c r="I108" s="31"/>
      <c r="J108" s="32"/>
    </row>
    <row r="109" spans="2:10" x14ac:dyDescent="0.35">
      <c r="B109" s="10"/>
      <c r="C109" s="10"/>
      <c r="D109" s="8"/>
      <c r="E109" s="8"/>
      <c r="F109" s="10"/>
      <c r="G109" s="24"/>
      <c r="H109" s="30"/>
      <c r="I109" s="31"/>
      <c r="J109" s="32"/>
    </row>
    <row r="110" spans="2:10" x14ac:dyDescent="0.35">
      <c r="B110" s="10"/>
      <c r="C110" s="10"/>
      <c r="D110" s="8"/>
      <c r="E110" s="8"/>
      <c r="F110" s="10"/>
      <c r="G110" s="24"/>
      <c r="H110" s="30"/>
      <c r="I110" s="31"/>
      <c r="J110" s="32"/>
    </row>
    <row r="111" spans="2:10" x14ac:dyDescent="0.35">
      <c r="B111" s="10"/>
      <c r="C111" s="10"/>
      <c r="D111" s="8"/>
      <c r="E111" s="8"/>
      <c r="F111" s="10"/>
      <c r="G111" s="24"/>
      <c r="H111" s="30"/>
      <c r="I111" s="31"/>
      <c r="J111" s="32"/>
    </row>
    <row r="112" spans="2:10" x14ac:dyDescent="0.35">
      <c r="B112" s="10"/>
      <c r="C112" s="10"/>
      <c r="D112" s="8"/>
      <c r="E112" s="8"/>
      <c r="F112" s="10"/>
      <c r="G112" s="24"/>
      <c r="H112" s="30"/>
      <c r="I112" s="31"/>
      <c r="J112" s="32"/>
    </row>
    <row r="113" spans="2:10" x14ac:dyDescent="0.35">
      <c r="B113" s="10"/>
      <c r="C113" s="10"/>
      <c r="D113" s="8"/>
      <c r="E113" s="8"/>
      <c r="F113" s="10"/>
      <c r="G113" s="24"/>
      <c r="H113" s="30"/>
      <c r="I113" s="31"/>
      <c r="J113" s="32"/>
    </row>
    <row r="114" spans="2:10" x14ac:dyDescent="0.35">
      <c r="B114" s="10"/>
      <c r="C114" s="10"/>
      <c r="D114" s="8"/>
      <c r="E114" s="8"/>
      <c r="F114" s="10"/>
      <c r="G114" s="24"/>
      <c r="H114" s="30"/>
      <c r="I114" s="31"/>
      <c r="J114" s="32"/>
    </row>
    <row r="115" spans="2:10" x14ac:dyDescent="0.35">
      <c r="B115" s="10"/>
      <c r="C115" s="10"/>
      <c r="D115" s="8"/>
      <c r="E115" s="8"/>
      <c r="F115" s="10"/>
      <c r="G115" s="24"/>
      <c r="H115" s="30"/>
      <c r="I115" s="31"/>
      <c r="J115" s="32"/>
    </row>
    <row r="116" spans="2:10" x14ac:dyDescent="0.35">
      <c r="B116" s="10"/>
      <c r="C116" s="10"/>
      <c r="D116" s="8"/>
      <c r="E116" s="8"/>
      <c r="F116" s="10"/>
      <c r="G116" s="24"/>
      <c r="H116" s="30"/>
      <c r="I116" s="31"/>
      <c r="J116" s="32"/>
    </row>
    <row r="117" spans="2:10" x14ac:dyDescent="0.35">
      <c r="B117" s="10"/>
      <c r="C117" s="10"/>
      <c r="D117" s="8"/>
      <c r="E117" s="8"/>
      <c r="F117" s="10"/>
      <c r="G117" s="24"/>
      <c r="H117" s="30"/>
      <c r="I117" s="31"/>
      <c r="J117" s="32"/>
    </row>
    <row r="118" spans="2:10" x14ac:dyDescent="0.35">
      <c r="B118" s="10"/>
      <c r="C118" s="10"/>
      <c r="D118" s="8"/>
      <c r="E118" s="8"/>
      <c r="F118" s="10"/>
      <c r="G118" s="24"/>
      <c r="H118" s="30"/>
      <c r="I118" s="31"/>
      <c r="J118" s="32"/>
    </row>
    <row r="119" spans="2:10" x14ac:dyDescent="0.35">
      <c r="B119" s="10"/>
      <c r="C119" s="10"/>
      <c r="D119" s="8"/>
      <c r="E119" s="8"/>
      <c r="F119" s="10"/>
      <c r="G119" s="24"/>
      <c r="H119" s="30"/>
      <c r="I119" s="31"/>
      <c r="J119" s="32"/>
    </row>
    <row r="120" spans="2:10" x14ac:dyDescent="0.35">
      <c r="B120" s="10"/>
      <c r="C120" s="10"/>
      <c r="D120" s="8"/>
      <c r="E120" s="8"/>
      <c r="F120" s="10"/>
      <c r="G120" s="24"/>
      <c r="H120" s="30"/>
      <c r="I120" s="31"/>
      <c r="J120" s="32"/>
    </row>
    <row r="121" spans="2:10" x14ac:dyDescent="0.35">
      <c r="B121" s="10"/>
      <c r="C121" s="10"/>
      <c r="D121" s="8"/>
      <c r="E121" s="8"/>
      <c r="F121" s="10"/>
      <c r="G121" s="24"/>
      <c r="H121" s="30"/>
      <c r="I121" s="31"/>
      <c r="J121" s="32"/>
    </row>
    <row r="122" spans="2:10" x14ac:dyDescent="0.35">
      <c r="B122" s="10"/>
      <c r="C122" s="10"/>
      <c r="D122" s="8"/>
      <c r="E122" s="8"/>
      <c r="F122" s="10"/>
      <c r="G122" s="24"/>
      <c r="H122" s="30"/>
      <c r="I122" s="31"/>
      <c r="J122" s="32"/>
    </row>
    <row r="123" spans="2:10" x14ac:dyDescent="0.35">
      <c r="B123" s="10"/>
      <c r="C123" s="10"/>
      <c r="D123" s="8"/>
      <c r="E123" s="8"/>
      <c r="F123" s="10"/>
      <c r="G123" s="24"/>
      <c r="H123" s="30"/>
      <c r="I123" s="31"/>
      <c r="J123" s="32"/>
    </row>
    <row r="124" spans="2:10" x14ac:dyDescent="0.35">
      <c r="B124" s="10"/>
      <c r="C124" s="10"/>
      <c r="D124" s="8"/>
      <c r="E124" s="8"/>
      <c r="F124" s="10"/>
      <c r="G124" s="24"/>
      <c r="H124" s="30"/>
      <c r="I124" s="31"/>
      <c r="J124" s="32"/>
    </row>
    <row r="125" spans="2:10" x14ac:dyDescent="0.35">
      <c r="B125" s="10"/>
      <c r="C125" s="10"/>
      <c r="D125" s="8"/>
      <c r="E125" s="8"/>
      <c r="F125" s="10"/>
      <c r="G125" s="24"/>
      <c r="H125" s="30"/>
      <c r="I125" s="31"/>
      <c r="J125" s="32"/>
    </row>
    <row r="126" spans="2:10" x14ac:dyDescent="0.35">
      <c r="B126" s="10"/>
      <c r="C126" s="10"/>
      <c r="D126" s="8"/>
      <c r="E126" s="8"/>
      <c r="F126" s="10"/>
      <c r="G126" s="24"/>
      <c r="H126" s="30"/>
      <c r="I126" s="31"/>
      <c r="J126" s="32"/>
    </row>
    <row r="127" spans="2:10" x14ac:dyDescent="0.35">
      <c r="B127" s="10"/>
      <c r="C127" s="10"/>
      <c r="D127" s="8"/>
      <c r="E127" s="8"/>
      <c r="F127" s="10"/>
      <c r="G127" s="24"/>
      <c r="H127" s="30"/>
      <c r="I127" s="31"/>
      <c r="J127" s="32"/>
    </row>
    <row r="128" spans="2:10" x14ac:dyDescent="0.35">
      <c r="B128" s="10"/>
      <c r="C128" s="10"/>
      <c r="D128" s="8"/>
      <c r="E128" s="8"/>
      <c r="F128" s="10"/>
      <c r="G128" s="24"/>
      <c r="H128" s="30"/>
      <c r="I128" s="31"/>
      <c r="J128" s="32"/>
    </row>
    <row r="129" spans="2:10" x14ac:dyDescent="0.35">
      <c r="B129" s="10"/>
      <c r="C129" s="10"/>
      <c r="D129" s="8"/>
      <c r="E129" s="8"/>
      <c r="F129" s="10"/>
      <c r="G129" s="24"/>
      <c r="H129" s="30"/>
      <c r="I129" s="31"/>
      <c r="J129" s="32"/>
    </row>
    <row r="130" spans="2:10" x14ac:dyDescent="0.35">
      <c r="B130" s="10"/>
      <c r="C130" s="10"/>
      <c r="D130" s="8"/>
      <c r="E130" s="8"/>
      <c r="F130" s="10"/>
      <c r="G130" s="24"/>
      <c r="H130" s="30"/>
      <c r="I130" s="31"/>
      <c r="J130" s="32"/>
    </row>
  </sheetData>
  <sheetProtection sheet="1" objects="1" scenarios="1"/>
  <dataConsolidate/>
  <mergeCells count="13">
    <mergeCell ref="L31:O31"/>
    <mergeCell ref="L36:O41"/>
    <mergeCell ref="L23:O28"/>
    <mergeCell ref="B1:D2"/>
    <mergeCell ref="F4:F5"/>
    <mergeCell ref="C4:C5"/>
    <mergeCell ref="E3:E5"/>
    <mergeCell ref="D3:D5"/>
    <mergeCell ref="B3:B4"/>
    <mergeCell ref="H3:I5"/>
    <mergeCell ref="L5:O5"/>
    <mergeCell ref="L2:M2"/>
    <mergeCell ref="N1:N3"/>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C4EFB3-7604-4964-90CE-718616044F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List of Names</vt:lpstr>
      <vt:lpstr>Files_2_Rename</vt:lpstr>
      <vt:lpstr>Rename_by_hand</vt:lpstr>
      <vt:lpstr>Folders_2_Rename</vt:lpstr>
      <vt:lpstr>Choises &amp; Info</vt:lpstr>
      <vt:lpstr>CalcFL</vt:lpstr>
      <vt:lpstr>dirs_unq</vt:lpstr>
      <vt:lpstr>FilePathLen</vt:lpstr>
      <vt:lpstr>lst_fNames</vt:lpstr>
      <vt:lpstr>myFilePath</vt:lpstr>
      <vt:lpstr>old_DN</vt:lpstr>
      <vt:lpstr>old_FN</vt:lpstr>
      <vt:lpstr>SearchFL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Apostolos</dc:creator>
  <cp:lastModifiedBy>Apostolos Goul</cp:lastModifiedBy>
  <cp:lastPrinted>2017-07-06T11:03:09Z</cp:lastPrinted>
  <dcterms:created xsi:type="dcterms:W3CDTF">2017-05-18T08:22:21Z</dcterms:created>
  <dcterms:modified xsi:type="dcterms:W3CDTF">2025-10-30T17:18:32Z</dcterms:modified>
</cp:coreProperties>
</file>